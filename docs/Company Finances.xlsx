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  <sheet state="visible" name="2025" sheetId="2" r:id="rId5"/>
    <sheet state="visible" name="2024" sheetId="3" r:id="rId6"/>
    <sheet state="visible" name="2023" sheetId="4" r:id="rId7"/>
    <sheet state="visible" name="2022" sheetId="5" r:id="rId8"/>
  </sheets>
  <definedNames/>
  <calcPr/>
  <extLst>
    <ext uri="GoogleSheetsCustomDataVersion2">
      <go:sheetsCustomData xmlns:go="http://customooxmlschemas.google.com/" r:id="rId9" roundtripDataChecksum="yrk7w4ZQ3X7Tssd1eby7OVm+1nwC7Au1Ai+FKhFOvi8="/>
    </ext>
  </extLst>
</workbook>
</file>

<file path=xl/sharedStrings.xml><?xml version="1.0" encoding="utf-8"?>
<sst xmlns="http://schemas.openxmlformats.org/spreadsheetml/2006/main" count="358" uniqueCount="142">
  <si>
    <t>Escalón</t>
  </si>
  <si>
    <t>Monthly net income</t>
  </si>
  <si>
    <t>Sueldo Fijo Retirable</t>
  </si>
  <si>
    <t>Facturación Promedio (3 meses)</t>
  </si>
  <si>
    <t>Colchón Mínimo en FM</t>
  </si>
  <si>
    <t>Regla de Bajada</t>
  </si>
  <si>
    <t>Escalón 1</t>
  </si>
  <si>
    <t>Total</t>
  </si>
  <si>
    <t>₲600.000</t>
  </si>
  <si>
    <t>Base de partida</t>
  </si>
  <si>
    <t>Acumular hasta ₲2.000.000</t>
  </si>
  <si>
    <t>Piso base (no baja más)</t>
  </si>
  <si>
    <t>Carry Over</t>
  </si>
  <si>
    <t>Escalón 2</t>
  </si>
  <si>
    <t>₲1.000.000</t>
  </si>
  <si>
    <t>₲1.700.000 / mes</t>
  </si>
  <si>
    <t>₲2.000.000</t>
  </si>
  <si>
    <t>Si Colchón &lt; ₲1.000.000 tras 3 meses bajos → Vuelve a ₲600.000</t>
  </si>
  <si>
    <t>Escalón 3</t>
  </si>
  <si>
    <t>₲1.500.000</t>
  </si>
  <si>
    <t>₲2.500.000 / mes</t>
  </si>
  <si>
    <t>₲4.500.000</t>
  </si>
  <si>
    <t>Si Colchón &lt;₲2.250.000 tras 3 meses bajos → Vuelve a ₲1.000.000</t>
  </si>
  <si>
    <t>Escalón 4</t>
  </si>
  <si>
    <t>₲3.350.000 / mes</t>
  </si>
  <si>
    <t>₲6.000.000</t>
  </si>
  <si>
    <t>Si Colchón $&lt;$ ₲3.000.000 tras 3 meses bajos → Vuelve a ₲1.500.000</t>
  </si>
  <si>
    <t>Categoría</t>
  </si>
  <si>
    <t>January</t>
  </si>
  <si>
    <t>February</t>
  </si>
  <si>
    <t>March</t>
  </si>
  <si>
    <t>April</t>
  </si>
  <si>
    <t>Ingreso</t>
  </si>
  <si>
    <t>IVA</t>
  </si>
  <si>
    <t>May</t>
  </si>
  <si>
    <t>Gastos Operativos</t>
  </si>
  <si>
    <t>Reserva Operativa</t>
  </si>
  <si>
    <t>June</t>
  </si>
  <si>
    <t>Reinversión</t>
  </si>
  <si>
    <t>July</t>
  </si>
  <si>
    <t>Utilidad</t>
  </si>
  <si>
    <t>Ago</t>
  </si>
  <si>
    <t>Sueldo</t>
  </si>
  <si>
    <t>Sep</t>
  </si>
  <si>
    <t>Porcentaje</t>
  </si>
  <si>
    <t>Oct</t>
  </si>
  <si>
    <t>Nov</t>
  </si>
  <si>
    <t>Dec</t>
  </si>
  <si>
    <t>Gross revenue</t>
  </si>
  <si>
    <t>Propósito</t>
  </si>
  <si>
    <t>Monto intocable para la liquidación mensual/trimestral.</t>
  </si>
  <si>
    <t>Hosting, herramientas, suscripciones básicas.</t>
  </si>
  <si>
    <t>Pequeño colchón propio de la empresa (para meses de bajos ingresos).</t>
  </si>
  <si>
    <t>Capacitación, Google IA, mejoras de hardware.</t>
  </si>
  <si>
    <t>Colchol de salarios</t>
  </si>
  <si>
    <t>Basado en los 3 ultimos meses</t>
  </si>
  <si>
    <t>Enero</t>
  </si>
  <si>
    <t>Monthly Expenses</t>
  </si>
  <si>
    <t>Expenses</t>
  </si>
  <si>
    <t>Febrero</t>
  </si>
  <si>
    <t>Net Income</t>
  </si>
  <si>
    <t>Marzo</t>
  </si>
  <si>
    <t>Abril</t>
  </si>
  <si>
    <t>Mayo</t>
  </si>
  <si>
    <t>Junio</t>
  </si>
  <si>
    <t>Julio</t>
  </si>
  <si>
    <t>Agosto</t>
  </si>
  <si>
    <t>Taxes</t>
  </si>
  <si>
    <t>Septiembre</t>
  </si>
  <si>
    <t>Octubre</t>
  </si>
  <si>
    <t>Gross tax</t>
  </si>
  <si>
    <t>Noviembre</t>
  </si>
  <si>
    <t>Diciembre</t>
  </si>
  <si>
    <t>Total Ingreso Anual</t>
  </si>
  <si>
    <t>Resumen</t>
  </si>
  <si>
    <t>Round up tax</t>
  </si>
  <si>
    <t>Colchon</t>
  </si>
  <si>
    <t>Ingresos: 100%</t>
  </si>
  <si>
    <t>Registro de egresos mensual</t>
  </si>
  <si>
    <t>Gross Owner Access</t>
  </si>
  <si>
    <t>Gastos Operativos: 50%</t>
  </si>
  <si>
    <t>Monthly Savings</t>
  </si>
  <si>
    <t>Monthly Tax Savings</t>
  </si>
  <si>
    <t>Reinversión en el Negocio: 25%</t>
  </si>
  <si>
    <t>Salario del Propietario: 15%</t>
  </si>
  <si>
    <t>Total Egresos Anual</t>
  </si>
  <si>
    <t>Net Owner Access</t>
  </si>
  <si>
    <t>Balance mensual</t>
  </si>
  <si>
    <t>New hires</t>
  </si>
  <si>
    <t>Equipment purchases</t>
  </si>
  <si>
    <t>Product development</t>
  </si>
  <si>
    <t>Product launches</t>
  </si>
  <si>
    <t>Checking account cushion</t>
  </si>
  <si>
    <t>Rebrands or website redesigns</t>
  </si>
  <si>
    <t>Training programs or certifications</t>
  </si>
  <si>
    <t>Emergency funds (which are three to six months of expenses)</t>
  </si>
  <si>
    <t>Uncategorised</t>
  </si>
  <si>
    <t>Total Monthly Expenses</t>
  </si>
  <si>
    <t>Utilidad Neta / Reserva: 10%</t>
  </si>
  <si>
    <t>Total anual</t>
  </si>
  <si>
    <t>Balance anual</t>
  </si>
  <si>
    <t>Description</t>
  </si>
  <si>
    <t>Web</t>
  </si>
  <si>
    <t>Consulting</t>
  </si>
  <si>
    <t>Development</t>
  </si>
  <si>
    <t>Total Monthly Savings</t>
  </si>
  <si>
    <t>Others</t>
  </si>
  <si>
    <t>Owner Access</t>
  </si>
  <si>
    <t>Variable - Gross tax (10 %)</t>
  </si>
  <si>
    <t>Variable - Round up tax</t>
  </si>
  <si>
    <t>August</t>
  </si>
  <si>
    <t>September</t>
  </si>
  <si>
    <t>October</t>
  </si>
  <si>
    <t>November</t>
  </si>
  <si>
    <t>December</t>
  </si>
  <si>
    <t>Fijo - Software de gestión y herramientas digitales</t>
  </si>
  <si>
    <t>Fijo - Suscripciones y membresías</t>
  </si>
  <si>
    <t>Fijo - Seguros</t>
  </si>
  <si>
    <t>Variable - Publicidad y marketing</t>
  </si>
  <si>
    <t>Variable - Gastos bancarios</t>
  </si>
  <si>
    <t>Variable - Mantenimiento a equipos</t>
  </si>
  <si>
    <t>Variable - Compra de insumos</t>
  </si>
  <si>
    <t>Variable - Compra de insumos a clientes</t>
  </si>
  <si>
    <t>Variable - Otros</t>
  </si>
  <si>
    <t>Ideal usage</t>
  </si>
  <si>
    <t>Difference ( - is not good )</t>
  </si>
  <si>
    <t>Marketing - Publicidad pagada</t>
  </si>
  <si>
    <t>Marketing - Diseño y branding</t>
  </si>
  <si>
    <t>Marketing - SEO y Contenido</t>
  </si>
  <si>
    <t>Marketing - Automatización de marketing</t>
  </si>
  <si>
    <t>Expansion - Desarrollo de nuevos productos</t>
  </si>
  <si>
    <t>Expansion - Capacitacion</t>
  </si>
  <si>
    <t>Expansion - Contratacion de personal clave</t>
  </si>
  <si>
    <t>Expansion - Compra de herramientas</t>
  </si>
  <si>
    <t>Innovacion - Optimización web y app</t>
  </si>
  <si>
    <t>Innovacion - Ciberseguridad</t>
  </si>
  <si>
    <t>Innovacion - IA y AP</t>
  </si>
  <si>
    <t>Salario del propietario</t>
  </si>
  <si>
    <t>Ahorros para contingencias</t>
  </si>
  <si>
    <t>Inversión en oportunidades imprevistas</t>
  </si>
  <si>
    <t>Reinversión extra</t>
  </si>
  <si>
    <t>Total Utilidad Neta / Reserva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</si>
</sst>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Gs.]#,##0"/>
    <numFmt numFmtId="165" formatCode="&quot;$ &quot;#,##0.00"/>
    <numFmt numFmtId="166" formatCode="0\ %"/>
  </numFmts>
  <fonts count="15">
    <font>
      <sz val="11.0"/>
      <color rgb="FF000000"/>
      <name val="Calibri"/>
      <scheme val="minor"/>
    </font>
    <font>
      <b/>
      <sz val="12.0"/>
      <color theme="1"/>
      <name val="Calibri"/>
      <scheme val="minor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color rgb="FF1F1F1F"/>
      <name val="&quot;Google Sans Text&quot;"/>
    </font>
    <font>
      <color rgb="FF1F1F1F"/>
      <name val="&quot;Google Sans Text&quot;"/>
    </font>
    <font>
      <sz val="11.0"/>
      <color rgb="FF1F1F1F"/>
      <name val="Calibri"/>
      <scheme val="minor"/>
    </font>
    <font>
      <sz val="11.0"/>
      <color rgb="FF000000"/>
      <name val="Calibri"/>
    </font>
    <font>
      <sz val="11.0"/>
      <color theme="1"/>
      <name val="Calibri"/>
      <scheme val="minor"/>
    </font>
    <font>
      <b/>
      <sz val="18.0"/>
      <color rgb="FF000000"/>
      <name val="Calibri"/>
    </font>
    <font>
      <sz val="11.0"/>
      <color theme="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0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DEEAF6"/>
        <bgColor rgb="FFDEEAF6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6F9D4"/>
        <bgColor rgb="FFF6F9D4"/>
      </patternFill>
    </fill>
    <fill>
      <patternFill patternType="solid">
        <fgColor rgb="FFF4CCCC"/>
        <bgColor rgb="FFF4CCCC"/>
      </patternFill>
    </fill>
    <fill>
      <patternFill patternType="solid">
        <fgColor rgb="FFFFD7D7"/>
        <bgColor rgb="FFFFD7D7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EE6EF"/>
        <bgColor rgb="FFDEE6EF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E2EFD9"/>
        <bgColor rgb="FFE2EFD9"/>
      </patternFill>
    </fill>
    <fill>
      <patternFill patternType="solid">
        <fgColor rgb="FF9FC5E8"/>
        <bgColor rgb="FF9FC5E8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4">
    <border/>
    <border>
      <left/>
      <right/>
      <top/>
      <bottom/>
    </border>
    <border>
      <bottom style="thin">
        <color rgb="FFFFD965"/>
      </bottom>
    </border>
    <border>
      <top style="thin">
        <color rgb="FFFFD965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0" fillId="5" fontId="5" numFmtId="0" xfId="0" applyAlignment="1" applyFill="1" applyFont="1">
      <alignment readingOrder="0"/>
    </xf>
    <xf borderId="0" fillId="5" fontId="5" numFmtId="9" xfId="0" applyAlignment="1" applyFill="1" applyFont="1" applyNumberFormat="1">
      <alignment readingOrder="0"/>
    </xf>
    <xf borderId="0" fillId="5" fontId="5" numFmtId="0" xfId="0" applyAlignment="1" applyFill="1" applyFont="1">
      <alignment readingOrder="0" vertical="top"/>
    </xf>
    <xf borderId="0" fillId="5" fontId="6" numFmtId="0" xfId="0" applyAlignment="1" applyFill="1" applyFont="1">
      <alignment readingOrder="0" shrinkToFit="0" vertical="top" wrapText="1"/>
    </xf>
    <xf borderId="0" fillId="5" fontId="5" numFmtId="0" xfId="0" applyAlignment="1" applyFill="1" applyFont="1">
      <alignment readingOrder="0" shrinkToFit="0" vertical="top" wrapText="1"/>
    </xf>
    <xf borderId="0" fillId="0" fontId="5" numFmtId="0" xfId="0" applyAlignment="1" applyFont="1">
      <alignment readingOrder="0"/>
    </xf>
    <xf borderId="0" fillId="6" fontId="7" numFmtId="164" xfId="0" applyAlignment="1" applyFill="1" applyFont="1" applyNumberFormat="1">
      <alignment readingOrder="0"/>
    </xf>
    <xf borderId="0" fillId="0" fontId="2" numFmtId="165" xfId="0" applyFont="1" applyNumberFormat="1"/>
    <xf borderId="1" fillId="3" fontId="2" numFmtId="3" xfId="0" applyBorder="1" applyFill="1" applyFont="1" applyNumberFormat="1"/>
    <xf borderId="0" fillId="0" fontId="7" numFmtId="164" xfId="0" applyAlignment="1" applyFont="1" applyNumberFormat="1">
      <alignment readingOrder="0"/>
    </xf>
    <xf borderId="1" fillId="5" fontId="2" numFmtId="3" xfId="0" applyBorder="1" applyFill="1" applyFont="1" applyNumberFormat="1"/>
    <xf borderId="0" fillId="0" fontId="8" numFmtId="165" xfId="0" applyFont="1" applyNumberFormat="1"/>
    <xf borderId="1" fillId="7" fontId="8" numFmtId="3" xfId="0" applyBorder="1" applyFill="1" applyFont="1" applyNumberFormat="1"/>
    <xf borderId="0" fillId="0" fontId="9" numFmtId="164" xfId="0" applyFont="1" applyNumberFormat="1"/>
    <xf borderId="1" fillId="8" fontId="2" numFmtId="0" xfId="0" applyBorder="1" applyFill="1" applyFont="1"/>
    <xf borderId="1" fillId="9" fontId="8" numFmtId="3" xfId="0" applyBorder="1" applyFill="1" applyFont="1" applyNumberFormat="1"/>
    <xf borderId="0" fillId="10" fontId="9" numFmtId="164" xfId="0" applyFill="1" applyFont="1" applyNumberFormat="1"/>
    <xf borderId="0" fillId="6" fontId="9" numFmtId="164" xfId="0" applyAlignment="1" applyFill="1" applyFont="1" applyNumberFormat="1">
      <alignment readingOrder="0"/>
    </xf>
    <xf borderId="0" fillId="0" fontId="2" numFmtId="3" xfId="0" applyFont="1" applyNumberFormat="1"/>
    <xf borderId="1" fillId="3" fontId="2" numFmtId="166" xfId="0" applyBorder="1" applyFill="1" applyFont="1" applyNumberFormat="1"/>
    <xf borderId="1" fillId="5" fontId="2" numFmtId="166" xfId="0" applyBorder="1" applyFill="1" applyFont="1" applyNumberFormat="1"/>
    <xf borderId="0" fillId="0" fontId="2" numFmtId="166" xfId="0" applyFont="1" applyNumberFormat="1"/>
    <xf borderId="0" fillId="6" fontId="9" numFmtId="164" xfId="0" applyFill="1" applyFont="1" applyNumberFormat="1"/>
    <xf borderId="0" fillId="11" fontId="4" numFmtId="0" xfId="0" applyAlignment="1" applyFill="1" applyFont="1">
      <alignment readingOrder="0"/>
    </xf>
    <xf borderId="0" fillId="0" fontId="10" numFmtId="0" xfId="0" applyFont="1"/>
    <xf borderId="0" fillId="0" fontId="8" numFmtId="3" xfId="0" applyFont="1" applyNumberFormat="1"/>
    <xf borderId="0" fillId="11" fontId="4" numFmtId="164" xfId="0" applyFill="1" applyFont="1" applyNumberFormat="1"/>
    <xf borderId="0" fillId="0" fontId="11" numFmtId="0" xfId="0" applyFont="1"/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vertical="center"/>
    </xf>
    <xf borderId="0" fillId="11" fontId="3" numFmtId="0" xfId="0" applyAlignment="1" applyFill="1" applyFont="1">
      <alignment readingOrder="0"/>
    </xf>
    <xf borderId="0" fillId="0" fontId="12" numFmtId="0" xfId="0" applyFont="1"/>
    <xf borderId="0" fillId="11" fontId="3" numFmtId="164" xfId="0" applyFill="1" applyFont="1" applyNumberFormat="1"/>
    <xf borderId="0" fillId="5" fontId="4" numFmtId="0" xfId="0" applyFill="1" applyFont="1"/>
    <xf borderId="0" fillId="0" fontId="12" numFmtId="3" xfId="0" applyFont="1" applyNumberFormat="1"/>
    <xf borderId="1" fillId="5" fontId="2" numFmtId="0" xfId="0" applyBorder="1" applyFill="1" applyFont="1"/>
    <xf borderId="1" fillId="12" fontId="2" numFmtId="0" xfId="0" applyBorder="1" applyFill="1" applyFont="1"/>
    <xf borderId="1" fillId="13" fontId="2" numFmtId="3" xfId="0" applyBorder="1" applyFill="1" applyFont="1" applyNumberFormat="1"/>
    <xf borderId="0" fillId="14" fontId="3" numFmtId="0" xfId="0" applyAlignment="1" applyFill="1" applyFont="1">
      <alignment readingOrder="0"/>
    </xf>
    <xf borderId="1" fillId="3" fontId="2" numFmtId="165" xfId="0" applyBorder="1" applyFill="1" applyFont="1" applyNumberFormat="1"/>
    <xf borderId="0" fillId="14" fontId="4" numFmtId="0" xfId="0" applyFill="1" applyFont="1"/>
    <xf borderId="1" fillId="15" fontId="2" numFmtId="0" xfId="0" applyBorder="1" applyFill="1" applyFont="1"/>
    <xf borderId="0" fillId="14" fontId="4" numFmtId="164" xfId="0" applyFill="1" applyFont="1" applyNumberFormat="1"/>
    <xf borderId="1" fillId="15" fontId="2" numFmtId="3" xfId="0" applyBorder="1" applyFill="1" applyFont="1" applyNumberFormat="1"/>
    <xf borderId="1" fillId="5" fontId="2" numFmtId="165" xfId="0" applyBorder="1" applyFill="1" applyFont="1" applyNumberFormat="1"/>
    <xf borderId="1" fillId="4" fontId="2" numFmtId="0" xfId="0" applyBorder="1" applyFill="1" applyFont="1"/>
    <xf borderId="1" fillId="4" fontId="2" numFmtId="165" xfId="0" applyBorder="1" applyFill="1" applyFont="1" applyNumberFormat="1"/>
    <xf borderId="1" fillId="4" fontId="8" numFmtId="0" xfId="0" applyBorder="1" applyFill="1" applyFont="1"/>
    <xf borderId="0" fillId="0" fontId="12" numFmtId="0" xfId="0" applyFont="1"/>
    <xf borderId="1" fillId="4" fontId="8" numFmtId="165" xfId="0" applyBorder="1" applyFill="1" applyFont="1" applyNumberFormat="1"/>
    <xf borderId="1" fillId="16" fontId="2" numFmtId="0" xfId="0" applyBorder="1" applyFill="1" applyFont="1"/>
    <xf borderId="1" fillId="9" fontId="2" numFmtId="3" xfId="0" applyBorder="1" applyFill="1" applyFont="1" applyNumberFormat="1"/>
    <xf borderId="0" fillId="5" fontId="4" numFmtId="0" xfId="0" applyAlignment="1" applyFill="1" applyFont="1">
      <alignment readingOrder="0"/>
    </xf>
    <xf borderId="0" fillId="0" fontId="13" numFmtId="0" xfId="0" applyFont="1"/>
    <xf borderId="0" fillId="5" fontId="4" numFmtId="164" xfId="0" applyFill="1" applyFont="1" applyNumberFormat="1"/>
    <xf borderId="1" fillId="17" fontId="13" numFmtId="3" xfId="0" applyBorder="1" applyFill="1" applyFont="1" applyNumberFormat="1"/>
    <xf borderId="0" fillId="0" fontId="13" numFmtId="3" xfId="0" applyFont="1" applyNumberFormat="1"/>
    <xf borderId="0" fillId="0" fontId="8" numFmtId="0" xfId="0" applyFont="1"/>
    <xf borderId="0" fillId="0" fontId="2" numFmtId="0" xfId="0" applyFont="1"/>
    <xf borderId="0" fillId="0" fontId="8" numFmtId="165" xfId="0" applyFont="1" applyNumberFormat="1"/>
    <xf borderId="0" fillId="0" fontId="8" numFmtId="3" xfId="0" applyFont="1" applyNumberFormat="1"/>
    <xf borderId="0" fillId="0" fontId="8" numFmtId="0" xfId="0" applyFont="1"/>
    <xf borderId="0" fillId="0" fontId="8" numFmtId="0" xfId="0" applyAlignment="1" applyFont="1">
      <alignment readingOrder="0"/>
    </xf>
    <xf borderId="1" fillId="18" fontId="2" numFmtId="0" xfId="0" applyBorder="1" applyFill="1" applyFont="1"/>
    <xf borderId="0" fillId="0" fontId="2" numFmtId="3" xfId="0" applyFont="1" applyNumberFormat="1"/>
    <xf borderId="1" fillId="19" fontId="12" numFmtId="3" xfId="0" applyAlignment="1" applyBorder="1" applyFill="1" applyFont="1" applyNumberFormat="1">
      <alignment horizontal="right"/>
    </xf>
    <xf borderId="0" fillId="0" fontId="8" numFmtId="3" xfId="0" applyAlignment="1" applyFont="1" applyNumberFormat="1">
      <alignment readingOrder="0"/>
    </xf>
    <xf borderId="1" fillId="20" fontId="12" numFmtId="3" xfId="0" applyAlignment="1" applyBorder="1" applyFill="1" applyFont="1" applyNumberFormat="1">
      <alignment horizontal="right"/>
    </xf>
    <xf borderId="2" fillId="0" fontId="13" numFmtId="0" xfId="0" applyBorder="1" applyFont="1"/>
    <xf borderId="2" fillId="0" fontId="14" numFmtId="3" xfId="0" applyBorder="1" applyFont="1" applyNumberFormat="1"/>
    <xf borderId="3" fillId="0" fontId="13" numFmtId="0" xfId="0" applyBorder="1" applyFont="1"/>
    <xf borderId="3" fillId="0" fontId="12" numFmtId="3" xfId="0" applyBorder="1" applyFont="1" applyNumberFormat="1"/>
    <xf borderId="0" fillId="0" fontId="2" numFmtId="165" xfId="0" applyFont="1" applyNumberForma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</dxfs>
  <tableStyles count="7">
    <tableStyle count="3" pivot="0" name="2025-style">
      <tableStyleElement dxfId="1" type="headerRow"/>
      <tableStyleElement dxfId="2" type="firstRowStripe"/>
      <tableStyleElement dxfId="3" type="secondRowStripe"/>
    </tableStyle>
    <tableStyle count="3" pivot="0" name="2025-style 2">
      <tableStyleElement dxfId="4" type="headerRow"/>
      <tableStyleElement dxfId="5" type="firstRowStripe"/>
      <tableStyleElement dxfId="3" type="secondRowStripe"/>
    </tableStyle>
    <tableStyle count="3" pivot="0" name="2025-style 3">
      <tableStyleElement dxfId="6" type="headerRow"/>
      <tableStyleElement dxfId="7" type="firstRowStripe"/>
      <tableStyleElement dxfId="3" type="secondRowStripe"/>
    </tableStyle>
    <tableStyle count="3" pivot="0" name="2025-style 4">
      <tableStyleElement dxfId="6" type="headerRow"/>
      <tableStyleElement dxfId="7" type="firstRowStripe"/>
      <tableStyleElement dxfId="3" type="secondRowStripe"/>
    </tableStyle>
    <tableStyle count="3" pivot="0" name="2025-style 5">
      <tableStyleElement dxfId="8" type="headerRow"/>
      <tableStyleElement dxfId="9" type="firstRowStripe"/>
      <tableStyleElement dxfId="3" type="secondRowStripe"/>
    </tableStyle>
    <tableStyle count="3" pivot="0" name="2025-style 6">
      <tableStyleElement dxfId="4" type="headerRow"/>
      <tableStyleElement dxfId="5" type="firstRowStripe"/>
      <tableStyleElement dxfId="3" type="secondRowStripe"/>
    </tableStyle>
    <tableStyle count="3" pivot="0" name="2025-style 7">
      <tableStyleElement dxfId="10" type="headerRow"/>
      <tableStyleElement dxfId="1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O9" displayName="Table_1" name="Table_1" id="1">
  <tableColumns count="15">
    <tableColumn name="Monthly net income" id="1"/>
    <tableColumn name="Total" id="2"/>
    <tableColumn name="Carry Over" id="3"/>
    <tableColumn name="January" id="4"/>
    <tableColumn name="February" id="5"/>
    <tableColumn name="March" id="6"/>
    <tableColumn name="April" id="7"/>
    <tableColumn name="May" id="8"/>
    <tableColumn name="June" id="9"/>
    <tableColumn name="July" id="10"/>
    <tableColumn name="Ago" id="11"/>
    <tableColumn name="Sep" id="12"/>
    <tableColumn name="Oct" id="13"/>
    <tableColumn name="Nov" id="14"/>
    <tableColumn name="Dec" id="15"/>
  </tableColumns>
  <tableStyleInfo name="2025-style" showColumnStripes="0" showFirstColumn="1" showLastColumn="1" showRowStripes="1"/>
</table>
</file>

<file path=xl/tables/table2.xml><?xml version="1.0" encoding="utf-8"?>
<table xmlns="http://schemas.openxmlformats.org/spreadsheetml/2006/main" ref="A14:O25" displayName="Table_2" name="Table_2" id="2">
  <tableColumns count="15">
    <tableColumn name="Description" id="1"/>
    <tableColumn name="Total" id="2"/>
    <tableColumn name="Carry Over" id="3"/>
    <tableColumn name="January" id="4"/>
    <tableColumn name="February" id="5"/>
    <tableColumn name="March" id="6"/>
    <tableColumn name="April" id="7"/>
    <tableColumn name="May" id="8"/>
    <tableColumn name="June" id="9"/>
    <tableColumn name="July" id="10"/>
    <tableColumn name="Ago" id="11"/>
    <tableColumn name="Sep" id="12"/>
    <tableColumn name="Oct" id="13"/>
    <tableColumn name="Nov" id="14"/>
    <tableColumn name="Dec" id="15"/>
  </tableColumns>
  <tableStyleInfo name="2025-style 2" showColumnStripes="0" showFirstColumn="1" showLastColumn="1" showRowStripes="1"/>
</table>
</file>

<file path=xl/tables/table3.xml><?xml version="1.0" encoding="utf-8"?>
<table xmlns="http://schemas.openxmlformats.org/spreadsheetml/2006/main" ref="A28:O30" displayName="Table_3" name="Table_3" id="3">
  <tableColumns count="15">
    <tableColumn name="Description" id="1"/>
    <tableColumn name="Total" id="2"/>
    <tableColumn name="Carry Over" id="3"/>
    <tableColumn name="January" id="4"/>
    <tableColumn name="February" id="5"/>
    <tableColumn name="March" id="6"/>
    <tableColumn name="April" id="7"/>
    <tableColumn name="May" id="8"/>
    <tableColumn name="June" id="9"/>
    <tableColumn name="July" id="10"/>
    <tableColumn name="Ago" id="11"/>
    <tableColumn name="Sep" id="12"/>
    <tableColumn name="Oct" id="13"/>
    <tableColumn name="Nov" id="14"/>
    <tableColumn name="Dec" id="15"/>
  </tableColumns>
  <tableStyleInfo name="2025-style 3" showColumnStripes="0" showFirstColumn="1" showLastColumn="1" showRowStripes="1"/>
</table>
</file>

<file path=xl/tables/table4.xml><?xml version="1.0" encoding="utf-8"?>
<table xmlns="http://schemas.openxmlformats.org/spreadsheetml/2006/main" ref="A32:O42" displayName="Table_4" name="Table_4" id="4">
  <tableColumns count="15">
    <tableColumn name="Description" id="1"/>
    <tableColumn name="Total" id="2"/>
    <tableColumn name="Carry Over" id="3"/>
    <tableColumn name="January" id="4"/>
    <tableColumn name="February" id="5"/>
    <tableColumn name="March" id="6"/>
    <tableColumn name="April" id="7"/>
    <tableColumn name="May" id="8"/>
    <tableColumn name="June" id="9"/>
    <tableColumn name="July" id="10"/>
    <tableColumn name="Ago" id="11"/>
    <tableColumn name="Sep" id="12"/>
    <tableColumn name="Oct" id="13"/>
    <tableColumn name="Nov" id="14"/>
    <tableColumn name="Dec" id="15"/>
  </tableColumns>
  <tableStyleInfo name="2025-style 4" showColumnStripes="0" showFirstColumn="1" showLastColumn="1" showRowStripes="1"/>
</table>
</file>

<file path=xl/tables/table5.xml><?xml version="1.0" encoding="utf-8"?>
<table xmlns="http://schemas.openxmlformats.org/spreadsheetml/2006/main" ref="A48:O60" displayName="Table_5" name="Table_5" id="5">
  <tableColumns count="15">
    <tableColumn name="Description" id="1"/>
    <tableColumn name="Total" id="2"/>
    <tableColumn name="Carry Over" id="3"/>
    <tableColumn name="January" id="4"/>
    <tableColumn name="February" id="5"/>
    <tableColumn name="March" id="6"/>
    <tableColumn name="April" id="7"/>
    <tableColumn name="May" id="8"/>
    <tableColumn name="June" id="9"/>
    <tableColumn name="July" id="10"/>
    <tableColumn name="Ago" id="11"/>
    <tableColumn name="Sep" id="12"/>
    <tableColumn name="Oct" id="13"/>
    <tableColumn name="Nov" id="14"/>
    <tableColumn name="Dec" id="15"/>
  </tableColumns>
  <tableStyleInfo name="2025-style 5" showColumnStripes="0" showFirstColumn="1" showLastColumn="1" showRowStripes="1"/>
</table>
</file>

<file path=xl/tables/table6.xml><?xml version="1.0" encoding="utf-8"?>
<table xmlns="http://schemas.openxmlformats.org/spreadsheetml/2006/main" ref="A66:O67" displayName="Table_6" name="Table_6" id="6">
  <tableColumns count="15">
    <tableColumn name="Description" id="1"/>
    <tableColumn name="Total" id="2"/>
    <tableColumn name="Carry Over" id="3"/>
    <tableColumn name="January" id="4"/>
    <tableColumn name="February" id="5"/>
    <tableColumn name="March" id="6"/>
    <tableColumn name="April" id="7"/>
    <tableColumn name="May" id="8"/>
    <tableColumn name="June" id="9"/>
    <tableColumn name="July" id="10"/>
    <tableColumn name="Ago" id="11"/>
    <tableColumn name="Sep" id="12"/>
    <tableColumn name="Oct" id="13"/>
    <tableColumn name="Nov" id="14"/>
    <tableColumn name="Dec" id="15"/>
  </tableColumns>
  <tableStyleInfo name="2025-style 6" showColumnStripes="0" showFirstColumn="1" showLastColumn="1" showRowStripes="1"/>
</table>
</file>

<file path=xl/tables/table7.xml><?xml version="1.0" encoding="utf-8"?>
<table xmlns="http://schemas.openxmlformats.org/spreadsheetml/2006/main" ref="A74:O78" displayName="Table_7" name="Table_7" id="7">
  <tableColumns count="15">
    <tableColumn name="Description" id="1"/>
    <tableColumn name="Total" id="2"/>
    <tableColumn name="Carry Over" id="3"/>
    <tableColumn name="January" id="4"/>
    <tableColumn name="February" id="5"/>
    <tableColumn name="March" id="6"/>
    <tableColumn name="April" id="7"/>
    <tableColumn name="May" id="8"/>
    <tableColumn name="June" id="9"/>
    <tableColumn name="July" id="10"/>
    <tableColumn name="Ago" id="11"/>
    <tableColumn name="Sep" id="12"/>
    <tableColumn name="Oct" id="13"/>
    <tableColumn name="Nov" id="14"/>
    <tableColumn name="Dec" id="15"/>
  </tableColumns>
  <tableStyleInfo name="2025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71"/>
    <col customWidth="1" min="3" max="3" width="31.43"/>
    <col customWidth="1" min="4" max="4" width="25.0"/>
    <col customWidth="1" min="5" max="5" width="21.57"/>
    <col customWidth="1" min="6" max="6" width="14.14"/>
    <col customWidth="1" min="7" max="7" width="18.0"/>
  </cols>
  <sheetData>
    <row r="2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3" t="s">
        <v>6</v>
      </c>
      <c r="B3" s="4" t="s">
        <v>8</v>
      </c>
      <c r="C3" s="4" t="s">
        <v>9</v>
      </c>
      <c r="D3" s="4" t="s">
        <v>10</v>
      </c>
      <c r="E3" s="4" t="s">
        <v>11</v>
      </c>
    </row>
    <row r="4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</row>
    <row r="5">
      <c r="A5" s="3" t="s">
        <v>18</v>
      </c>
      <c r="B5" s="4" t="s">
        <v>19</v>
      </c>
      <c r="C5" s="4" t="s">
        <v>20</v>
      </c>
      <c r="D5" s="4" t="s">
        <v>21</v>
      </c>
      <c r="E5" s="4" t="s">
        <v>22</v>
      </c>
    </row>
    <row r="6">
      <c r="A6" s="3" t="s">
        <v>23</v>
      </c>
      <c r="B6" s="4" t="s">
        <v>16</v>
      </c>
      <c r="C6" s="4" t="s">
        <v>24</v>
      </c>
      <c r="D6" s="4" t="s">
        <v>25</v>
      </c>
      <c r="E6" s="4" t="s">
        <v>26</v>
      </c>
    </row>
    <row r="8">
      <c r="A8" s="8" t="s">
        <v>27</v>
      </c>
      <c r="B8" s="8" t="s">
        <v>32</v>
      </c>
      <c r="C8" s="8" t="s">
        <v>33</v>
      </c>
      <c r="D8" s="8" t="s">
        <v>35</v>
      </c>
      <c r="E8" s="8" t="s">
        <v>36</v>
      </c>
      <c r="F8" s="8" t="s">
        <v>38</v>
      </c>
      <c r="G8" s="8" t="s">
        <v>40</v>
      </c>
      <c r="H8" s="8" t="s">
        <v>42</v>
      </c>
    </row>
    <row r="9">
      <c r="A9" s="8" t="s">
        <v>44</v>
      </c>
      <c r="B9" s="9"/>
      <c r="C9" s="9">
        <v>0.1</v>
      </c>
      <c r="D9" s="9">
        <v>0.15</v>
      </c>
      <c r="E9" s="9">
        <v>0.05</v>
      </c>
      <c r="F9" s="9">
        <v>0.1</v>
      </c>
      <c r="G9" s="9">
        <v>0.6</v>
      </c>
      <c r="H9" s="9"/>
    </row>
    <row r="10">
      <c r="A10" s="10" t="s">
        <v>49</v>
      </c>
      <c r="B10" s="11"/>
      <c r="C10" s="11" t="s">
        <v>50</v>
      </c>
      <c r="D10" s="11" t="s">
        <v>51</v>
      </c>
      <c r="E10" s="11" t="s">
        <v>52</v>
      </c>
      <c r="F10" s="11" t="s">
        <v>53</v>
      </c>
      <c r="G10" s="12" t="s">
        <v>54</v>
      </c>
      <c r="H10" s="12" t="s">
        <v>55</v>
      </c>
    </row>
    <row r="11">
      <c r="A11" s="13" t="s">
        <v>56</v>
      </c>
      <c r="B11" s="14">
        <v>1100000.0</v>
      </c>
      <c r="C11" s="17">
        <f t="shared" ref="C11:C22" si="1">B11/11</f>
        <v>100000</v>
      </c>
      <c r="D11" s="17">
        <f t="shared" ref="D11:D22" si="2">B11*0.15</f>
        <v>165000</v>
      </c>
      <c r="E11" s="21">
        <f t="shared" ref="E11:E22" si="3">B11*0.05</f>
        <v>55000</v>
      </c>
      <c r="F11" s="21">
        <f t="shared" ref="F11:F22" si="4">B11*0.1</f>
        <v>110000</v>
      </c>
      <c r="G11" s="24">
        <f t="shared" ref="G11:G22" si="5">B11-sum(C11:F11)</f>
        <v>670000</v>
      </c>
      <c r="H11" s="21">
        <v>0.0</v>
      </c>
    </row>
    <row r="12">
      <c r="A12" s="13" t="s">
        <v>59</v>
      </c>
      <c r="B12" s="14">
        <v>4730000.0</v>
      </c>
      <c r="C12" s="17">
        <f t="shared" si="1"/>
        <v>430000</v>
      </c>
      <c r="D12" s="17">
        <f t="shared" si="2"/>
        <v>709500</v>
      </c>
      <c r="E12" s="21">
        <f t="shared" si="3"/>
        <v>236500</v>
      </c>
      <c r="F12" s="21">
        <f t="shared" si="4"/>
        <v>473000</v>
      </c>
      <c r="G12" s="24">
        <f t="shared" si="5"/>
        <v>2881000</v>
      </c>
      <c r="H12" s="21">
        <v>0.0</v>
      </c>
    </row>
    <row r="13">
      <c r="A13" s="13" t="s">
        <v>61</v>
      </c>
      <c r="B13" s="14">
        <v>500000.0</v>
      </c>
      <c r="C13" s="17">
        <f t="shared" si="1"/>
        <v>45454.54545</v>
      </c>
      <c r="D13" s="17">
        <f t="shared" si="2"/>
        <v>75000</v>
      </c>
      <c r="E13" s="21">
        <f t="shared" si="3"/>
        <v>25000</v>
      </c>
      <c r="F13" s="21">
        <f t="shared" si="4"/>
        <v>50000</v>
      </c>
      <c r="G13" s="24">
        <f t="shared" si="5"/>
        <v>304545.4545</v>
      </c>
      <c r="H13" s="21">
        <v>0.0</v>
      </c>
    </row>
    <row r="14">
      <c r="A14" s="3" t="s">
        <v>62</v>
      </c>
      <c r="B14" s="25">
        <v>1730000.0</v>
      </c>
      <c r="C14" s="17">
        <f t="shared" si="1"/>
        <v>157272.7273</v>
      </c>
      <c r="D14" s="17">
        <f t="shared" si="2"/>
        <v>259500</v>
      </c>
      <c r="E14" s="21">
        <f t="shared" si="3"/>
        <v>86500</v>
      </c>
      <c r="F14" s="21">
        <f t="shared" si="4"/>
        <v>173000</v>
      </c>
      <c r="G14" s="24">
        <f t="shared" si="5"/>
        <v>1053727.273</v>
      </c>
      <c r="H14" s="21">
        <v>0.0</v>
      </c>
    </row>
    <row r="15">
      <c r="A15" s="3" t="s">
        <v>63</v>
      </c>
      <c r="B15" s="25">
        <v>1420000.0</v>
      </c>
      <c r="C15" s="17">
        <f t="shared" si="1"/>
        <v>129090.9091</v>
      </c>
      <c r="D15" s="17">
        <f t="shared" si="2"/>
        <v>213000</v>
      </c>
      <c r="E15" s="21">
        <f t="shared" si="3"/>
        <v>71000</v>
      </c>
      <c r="F15" s="21">
        <f t="shared" si="4"/>
        <v>142000</v>
      </c>
      <c r="G15" s="24">
        <f t="shared" si="5"/>
        <v>864909.0909</v>
      </c>
      <c r="H15" s="21">
        <v>0.0</v>
      </c>
    </row>
    <row r="16">
      <c r="A16" s="3" t="s">
        <v>64</v>
      </c>
      <c r="B16" s="25">
        <v>1122000.0</v>
      </c>
      <c r="C16" s="17">
        <f t="shared" si="1"/>
        <v>102000</v>
      </c>
      <c r="D16" s="17">
        <f t="shared" si="2"/>
        <v>168300</v>
      </c>
      <c r="E16" s="21">
        <f t="shared" si="3"/>
        <v>56100</v>
      </c>
      <c r="F16" s="21">
        <f t="shared" si="4"/>
        <v>112200</v>
      </c>
      <c r="G16" s="24">
        <f t="shared" si="5"/>
        <v>683400</v>
      </c>
      <c r="H16" s="21">
        <v>0.0</v>
      </c>
    </row>
    <row r="17">
      <c r="A17" s="3" t="s">
        <v>65</v>
      </c>
      <c r="B17" s="25">
        <v>2238000.0</v>
      </c>
      <c r="C17" s="17">
        <f t="shared" si="1"/>
        <v>203454.5455</v>
      </c>
      <c r="D17" s="17">
        <f t="shared" si="2"/>
        <v>335700</v>
      </c>
      <c r="E17" s="21">
        <f t="shared" si="3"/>
        <v>111900</v>
      </c>
      <c r="F17" s="21">
        <f t="shared" si="4"/>
        <v>223800</v>
      </c>
      <c r="G17" s="24">
        <f t="shared" si="5"/>
        <v>1363145.455</v>
      </c>
      <c r="H17" s="21">
        <v>0.0</v>
      </c>
    </row>
    <row r="18">
      <c r="A18" s="3" t="s">
        <v>66</v>
      </c>
      <c r="B18" s="25">
        <v>2600000.0</v>
      </c>
      <c r="C18" s="17">
        <f t="shared" si="1"/>
        <v>236363.6364</v>
      </c>
      <c r="D18" s="17">
        <f t="shared" si="2"/>
        <v>390000</v>
      </c>
      <c r="E18" s="21">
        <f t="shared" si="3"/>
        <v>130000</v>
      </c>
      <c r="F18" s="21">
        <f t="shared" si="4"/>
        <v>260000</v>
      </c>
      <c r="G18" s="21">
        <f t="shared" si="5"/>
        <v>1583636.364</v>
      </c>
      <c r="H18" s="21">
        <v>600000.0</v>
      </c>
    </row>
    <row r="19">
      <c r="A19" s="3" t="s">
        <v>68</v>
      </c>
      <c r="B19" s="25"/>
      <c r="C19" s="17">
        <f t="shared" si="1"/>
        <v>0</v>
      </c>
      <c r="D19" s="17">
        <f t="shared" si="2"/>
        <v>0</v>
      </c>
      <c r="E19" s="21">
        <f t="shared" si="3"/>
        <v>0</v>
      </c>
      <c r="F19" s="21">
        <f t="shared" si="4"/>
        <v>0</v>
      </c>
      <c r="G19" s="21">
        <f t="shared" si="5"/>
        <v>0</v>
      </c>
      <c r="H19" s="21"/>
    </row>
    <row r="20">
      <c r="A20" s="3" t="s">
        <v>69</v>
      </c>
      <c r="B20" s="30"/>
      <c r="C20" s="17">
        <f t="shared" si="1"/>
        <v>0</v>
      </c>
      <c r="D20" s="17">
        <f t="shared" si="2"/>
        <v>0</v>
      </c>
      <c r="E20" s="21">
        <f t="shared" si="3"/>
        <v>0</v>
      </c>
      <c r="F20" s="21">
        <f t="shared" si="4"/>
        <v>0</v>
      </c>
      <c r="G20" s="21">
        <f t="shared" si="5"/>
        <v>0</v>
      </c>
      <c r="H20" s="21"/>
    </row>
    <row r="21">
      <c r="A21" s="3" t="s">
        <v>71</v>
      </c>
      <c r="B21" s="30"/>
      <c r="C21" s="17">
        <f t="shared" si="1"/>
        <v>0</v>
      </c>
      <c r="D21" s="17">
        <f t="shared" si="2"/>
        <v>0</v>
      </c>
      <c r="E21" s="21">
        <f t="shared" si="3"/>
        <v>0</v>
      </c>
      <c r="F21" s="21">
        <f t="shared" si="4"/>
        <v>0</v>
      </c>
      <c r="G21" s="21">
        <f t="shared" si="5"/>
        <v>0</v>
      </c>
      <c r="H21" s="21"/>
    </row>
    <row r="22">
      <c r="A22" s="3" t="s">
        <v>72</v>
      </c>
      <c r="B22" s="30"/>
      <c r="C22" s="17">
        <f t="shared" si="1"/>
        <v>0</v>
      </c>
      <c r="D22" s="17">
        <f t="shared" si="2"/>
        <v>0</v>
      </c>
      <c r="E22" s="21">
        <f t="shared" si="3"/>
        <v>0</v>
      </c>
      <c r="F22" s="21">
        <f t="shared" si="4"/>
        <v>0</v>
      </c>
      <c r="G22" s="21">
        <f t="shared" si="5"/>
        <v>0</v>
      </c>
      <c r="H22" s="21"/>
    </row>
    <row r="23">
      <c r="A23" s="31" t="s">
        <v>73</v>
      </c>
      <c r="B23" s="34">
        <f>sum(B11:B22)</f>
        <v>15440000</v>
      </c>
      <c r="G23" s="34">
        <f t="shared" ref="G23:H23" si="6">sum(G11:G22)</f>
        <v>9404363.636</v>
      </c>
      <c r="H23" s="34">
        <f t="shared" si="6"/>
        <v>600000</v>
      </c>
    </row>
    <row r="24">
      <c r="A24" s="38" t="s">
        <v>76</v>
      </c>
      <c r="G24" s="40">
        <f>sum(G18:G22)</f>
        <v>1583636.364</v>
      </c>
    </row>
    <row r="26">
      <c r="A26" s="8" t="s">
        <v>78</v>
      </c>
      <c r="B26" s="41"/>
      <c r="C26" s="8" t="s">
        <v>33</v>
      </c>
      <c r="D26" s="8" t="s">
        <v>35</v>
      </c>
      <c r="E26" s="8" t="s">
        <v>36</v>
      </c>
      <c r="F26" s="8" t="s">
        <v>38</v>
      </c>
      <c r="G26" s="41"/>
    </row>
    <row r="27">
      <c r="A27" s="13" t="s">
        <v>56</v>
      </c>
      <c r="B27" s="17"/>
      <c r="C27" s="17">
        <v>0.0</v>
      </c>
      <c r="D27" s="14">
        <f>220000+160000+62292</f>
        <v>442292</v>
      </c>
      <c r="E27" s="25"/>
      <c r="F27" s="30"/>
      <c r="G27" s="21"/>
    </row>
    <row r="28">
      <c r="A28" s="13" t="s">
        <v>59</v>
      </c>
      <c r="B28" s="17"/>
      <c r="C28" s="17">
        <v>50000.0</v>
      </c>
      <c r="D28" s="14">
        <f>1049241+25000</f>
        <v>1074241</v>
      </c>
      <c r="E28" s="30"/>
      <c r="F28" s="30"/>
      <c r="G28" s="21"/>
    </row>
    <row r="29">
      <c r="A29" s="13" t="s">
        <v>61</v>
      </c>
      <c r="B29" s="17"/>
      <c r="C29" s="17">
        <f t="shared" ref="C29:C38" si="7">C13</f>
        <v>45454.54545</v>
      </c>
      <c r="D29" s="14">
        <v>25017.0</v>
      </c>
      <c r="E29" s="25">
        <v>100000.0</v>
      </c>
      <c r="F29" s="30"/>
      <c r="G29" s="21"/>
    </row>
    <row r="30">
      <c r="A30" s="3" t="s">
        <v>62</v>
      </c>
      <c r="B30" s="21"/>
      <c r="C30" s="17">
        <f t="shared" si="7"/>
        <v>157272.7273</v>
      </c>
      <c r="D30" s="30"/>
      <c r="E30" s="30"/>
      <c r="F30" s="25"/>
      <c r="G30" s="21"/>
    </row>
    <row r="31">
      <c r="A31" s="3" t="s">
        <v>63</v>
      </c>
      <c r="B31" s="21"/>
      <c r="C31" s="17">
        <f t="shared" si="7"/>
        <v>129090.9091</v>
      </c>
      <c r="D31" s="25">
        <v>25000.0</v>
      </c>
      <c r="E31" s="30"/>
      <c r="F31" s="25">
        <v>350000.0</v>
      </c>
      <c r="G31" s="21"/>
    </row>
    <row r="32">
      <c r="A32" s="3" t="s">
        <v>64</v>
      </c>
      <c r="B32" s="21"/>
      <c r="C32" s="17">
        <f t="shared" si="7"/>
        <v>102000</v>
      </c>
      <c r="D32" s="25">
        <v>25045.0</v>
      </c>
      <c r="E32" s="30"/>
      <c r="F32" s="30"/>
      <c r="G32" s="21"/>
    </row>
    <row r="33">
      <c r="A33" s="3" t="s">
        <v>65</v>
      </c>
      <c r="B33" s="21"/>
      <c r="C33" s="17">
        <f t="shared" si="7"/>
        <v>203454.5455</v>
      </c>
      <c r="D33" s="25">
        <v>25045.0</v>
      </c>
      <c r="E33" s="30"/>
      <c r="F33" s="30"/>
      <c r="G33" s="21"/>
    </row>
    <row r="34">
      <c r="A34" s="3" t="s">
        <v>66</v>
      </c>
      <c r="B34" s="21"/>
      <c r="C34" s="17">
        <f t="shared" si="7"/>
        <v>236363.6364</v>
      </c>
      <c r="D34" s="25">
        <v>223873.0</v>
      </c>
      <c r="E34" s="30"/>
      <c r="F34" s="30"/>
      <c r="G34" s="21"/>
    </row>
    <row r="35">
      <c r="A35" s="3" t="s">
        <v>68</v>
      </c>
      <c r="B35" s="21"/>
      <c r="C35" s="17">
        <f t="shared" si="7"/>
        <v>0</v>
      </c>
      <c r="D35" s="30"/>
      <c r="E35" s="30"/>
      <c r="F35" s="30"/>
      <c r="G35" s="21"/>
    </row>
    <row r="36">
      <c r="A36" s="3" t="s">
        <v>69</v>
      </c>
      <c r="B36" s="21"/>
      <c r="C36" s="17">
        <f t="shared" si="7"/>
        <v>0</v>
      </c>
      <c r="D36" s="30"/>
      <c r="E36" s="30"/>
      <c r="F36" s="30"/>
      <c r="G36" s="21"/>
    </row>
    <row r="37">
      <c r="A37" s="3" t="s">
        <v>71</v>
      </c>
      <c r="B37" s="21"/>
      <c r="C37" s="17">
        <f t="shared" si="7"/>
        <v>0</v>
      </c>
      <c r="D37" s="30"/>
      <c r="E37" s="30"/>
      <c r="F37" s="30"/>
      <c r="G37" s="21"/>
    </row>
    <row r="38">
      <c r="A38" s="3" t="s">
        <v>72</v>
      </c>
      <c r="B38" s="21"/>
      <c r="C38" s="17">
        <f t="shared" si="7"/>
        <v>0</v>
      </c>
      <c r="D38" s="30"/>
      <c r="E38" s="30"/>
      <c r="F38" s="30"/>
      <c r="G38" s="21"/>
    </row>
    <row r="39">
      <c r="A39" s="46" t="s">
        <v>85</v>
      </c>
      <c r="B39" s="48"/>
      <c r="C39" s="50">
        <f t="shared" ref="C39:F39" si="8">sum(C27:C38)</f>
        <v>923636.3636</v>
      </c>
      <c r="D39" s="50">
        <f t="shared" si="8"/>
        <v>1840513</v>
      </c>
      <c r="E39" s="50">
        <f t="shared" si="8"/>
        <v>100000</v>
      </c>
      <c r="F39" s="50">
        <f t="shared" si="8"/>
        <v>350000</v>
      </c>
      <c r="G39" s="50">
        <f>sum(C39:F39)</f>
        <v>3214149.364</v>
      </c>
    </row>
    <row r="41">
      <c r="A41" s="8" t="s">
        <v>87</v>
      </c>
      <c r="B41" s="41"/>
      <c r="C41" s="8" t="s">
        <v>33</v>
      </c>
      <c r="D41" s="8" t="s">
        <v>35</v>
      </c>
      <c r="E41" s="8" t="s">
        <v>36</v>
      </c>
      <c r="F41" s="8" t="s">
        <v>38</v>
      </c>
      <c r="G41" s="41"/>
    </row>
    <row r="42">
      <c r="A42" s="13" t="s">
        <v>56</v>
      </c>
      <c r="B42" s="17"/>
      <c r="C42" s="17">
        <f t="shared" ref="C42:F42" si="9">C11-C27</f>
        <v>100000</v>
      </c>
      <c r="D42" s="17">
        <f t="shared" si="9"/>
        <v>-277292</v>
      </c>
      <c r="E42" s="17">
        <f t="shared" si="9"/>
        <v>55000</v>
      </c>
      <c r="F42" s="17">
        <f t="shared" si="9"/>
        <v>110000</v>
      </c>
      <c r="G42" s="21"/>
    </row>
    <row r="43">
      <c r="A43" s="13" t="s">
        <v>59</v>
      </c>
      <c r="B43" s="17"/>
      <c r="C43" s="17">
        <f t="shared" ref="C43:F43" si="10">C12-C28</f>
        <v>380000</v>
      </c>
      <c r="D43" s="17">
        <f t="shared" si="10"/>
        <v>-364741</v>
      </c>
      <c r="E43" s="17">
        <f t="shared" si="10"/>
        <v>236500</v>
      </c>
      <c r="F43" s="17">
        <f t="shared" si="10"/>
        <v>473000</v>
      </c>
      <c r="G43" s="21"/>
    </row>
    <row r="44">
      <c r="A44" s="13" t="s">
        <v>61</v>
      </c>
      <c r="B44" s="17"/>
      <c r="C44" s="17">
        <f t="shared" ref="C44:F44" si="11">C13-C29</f>
        <v>0</v>
      </c>
      <c r="D44" s="17">
        <f t="shared" si="11"/>
        <v>49983</v>
      </c>
      <c r="E44" s="17">
        <f t="shared" si="11"/>
        <v>-75000</v>
      </c>
      <c r="F44" s="17">
        <f t="shared" si="11"/>
        <v>50000</v>
      </c>
      <c r="G44" s="21"/>
    </row>
    <row r="45">
      <c r="A45" s="3" t="s">
        <v>62</v>
      </c>
      <c r="B45" s="21"/>
      <c r="C45" s="17">
        <f t="shared" ref="C45:F45" si="12">C14-C30</f>
        <v>0</v>
      </c>
      <c r="D45" s="17">
        <f t="shared" si="12"/>
        <v>259500</v>
      </c>
      <c r="E45" s="17">
        <f t="shared" si="12"/>
        <v>86500</v>
      </c>
      <c r="F45" s="17">
        <f t="shared" si="12"/>
        <v>173000</v>
      </c>
      <c r="G45" s="21"/>
    </row>
    <row r="46">
      <c r="A46" s="3" t="s">
        <v>63</v>
      </c>
      <c r="B46" s="21"/>
      <c r="C46" s="17">
        <f t="shared" ref="C46:F46" si="13">C15-C31</f>
        <v>0</v>
      </c>
      <c r="D46" s="17">
        <f t="shared" si="13"/>
        <v>188000</v>
      </c>
      <c r="E46" s="17">
        <f t="shared" si="13"/>
        <v>71000</v>
      </c>
      <c r="F46" s="17">
        <f t="shared" si="13"/>
        <v>-208000</v>
      </c>
      <c r="G46" s="21"/>
    </row>
    <row r="47">
      <c r="A47" s="3" t="s">
        <v>64</v>
      </c>
      <c r="B47" s="21"/>
      <c r="C47" s="17">
        <f t="shared" ref="C47:F47" si="14">C16-C32</f>
        <v>0</v>
      </c>
      <c r="D47" s="17">
        <f t="shared" si="14"/>
        <v>143255</v>
      </c>
      <c r="E47" s="17">
        <f t="shared" si="14"/>
        <v>56100</v>
      </c>
      <c r="F47" s="17">
        <f t="shared" si="14"/>
        <v>112200</v>
      </c>
      <c r="G47" s="21"/>
    </row>
    <row r="48">
      <c r="A48" s="3" t="s">
        <v>65</v>
      </c>
      <c r="B48" s="21"/>
      <c r="C48" s="17">
        <f t="shared" ref="C48:F48" si="15">C17-C33</f>
        <v>0</v>
      </c>
      <c r="D48" s="17">
        <f t="shared" si="15"/>
        <v>310655</v>
      </c>
      <c r="E48" s="17">
        <f t="shared" si="15"/>
        <v>111900</v>
      </c>
      <c r="F48" s="17">
        <f t="shared" si="15"/>
        <v>223800</v>
      </c>
      <c r="G48" s="21"/>
    </row>
    <row r="49">
      <c r="A49" s="3" t="s">
        <v>66</v>
      </c>
      <c r="B49" s="21"/>
      <c r="C49" s="17">
        <f t="shared" ref="C49:F49" si="16">C18-C34</f>
        <v>0</v>
      </c>
      <c r="D49" s="17">
        <f t="shared" si="16"/>
        <v>166127</v>
      </c>
      <c r="E49" s="17">
        <f t="shared" si="16"/>
        <v>130000</v>
      </c>
      <c r="F49" s="17">
        <f t="shared" si="16"/>
        <v>260000</v>
      </c>
      <c r="G49" s="21"/>
    </row>
    <row r="50">
      <c r="A50" s="3" t="s">
        <v>68</v>
      </c>
      <c r="B50" s="21"/>
      <c r="C50" s="17">
        <f t="shared" ref="C50:F50" si="17">C19-C35</f>
        <v>0</v>
      </c>
      <c r="D50" s="17">
        <f t="shared" si="17"/>
        <v>0</v>
      </c>
      <c r="E50" s="17">
        <f t="shared" si="17"/>
        <v>0</v>
      </c>
      <c r="F50" s="17">
        <f t="shared" si="17"/>
        <v>0</v>
      </c>
      <c r="G50" s="21"/>
    </row>
    <row r="51">
      <c r="A51" s="3" t="s">
        <v>69</v>
      </c>
      <c r="B51" s="21"/>
      <c r="C51" s="17">
        <f t="shared" ref="C51:F51" si="18">C20-C36</f>
        <v>0</v>
      </c>
      <c r="D51" s="17">
        <f t="shared" si="18"/>
        <v>0</v>
      </c>
      <c r="E51" s="17">
        <f t="shared" si="18"/>
        <v>0</v>
      </c>
      <c r="F51" s="17">
        <f t="shared" si="18"/>
        <v>0</v>
      </c>
      <c r="G51" s="21"/>
    </row>
    <row r="52">
      <c r="A52" s="3" t="s">
        <v>71</v>
      </c>
      <c r="B52" s="21"/>
      <c r="C52" s="17">
        <f t="shared" ref="C52:F52" si="19">C21-C37</f>
        <v>0</v>
      </c>
      <c r="D52" s="17">
        <f t="shared" si="19"/>
        <v>0</v>
      </c>
      <c r="E52" s="17">
        <f t="shared" si="19"/>
        <v>0</v>
      </c>
      <c r="F52" s="17">
        <f t="shared" si="19"/>
        <v>0</v>
      </c>
      <c r="G52" s="21"/>
    </row>
    <row r="53">
      <c r="A53" s="3" t="s">
        <v>72</v>
      </c>
      <c r="B53" s="21"/>
      <c r="C53" s="17">
        <f t="shared" ref="C53:F53" si="20">C22-C38</f>
        <v>0</v>
      </c>
      <c r="D53" s="17">
        <f t="shared" si="20"/>
        <v>0</v>
      </c>
      <c r="E53" s="17">
        <f t="shared" si="20"/>
        <v>0</v>
      </c>
      <c r="F53" s="17">
        <f t="shared" si="20"/>
        <v>0</v>
      </c>
      <c r="G53" s="21"/>
    </row>
    <row r="54">
      <c r="A54" s="46" t="s">
        <v>99</v>
      </c>
      <c r="B54" s="48"/>
      <c r="C54" s="50">
        <f t="shared" ref="C54:F54" si="21">sum(C42:C53)</f>
        <v>480000</v>
      </c>
      <c r="D54" s="50">
        <f t="shared" si="21"/>
        <v>475487</v>
      </c>
      <c r="E54" s="50">
        <f t="shared" si="21"/>
        <v>672000</v>
      </c>
      <c r="F54" s="50">
        <f t="shared" si="21"/>
        <v>1194000</v>
      </c>
      <c r="G54" s="48"/>
    </row>
    <row r="55">
      <c r="A55" s="60" t="s">
        <v>100</v>
      </c>
      <c r="B55" s="62">
        <f>sum(C54:F54)</f>
        <v>2821487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14.29"/>
    <col customWidth="1" hidden="1" min="3" max="3" width="14.29"/>
    <col customWidth="1" min="4" max="9" width="14.29"/>
    <col customWidth="1" min="10" max="15" width="12.86"/>
  </cols>
  <sheetData>
    <row r="2">
      <c r="A2" s="32" t="s">
        <v>74</v>
      </c>
    </row>
    <row r="3">
      <c r="A3" s="35" t="s">
        <v>1</v>
      </c>
      <c r="B3" s="36" t="s">
        <v>7</v>
      </c>
      <c r="C3" s="37" t="s">
        <v>12</v>
      </c>
      <c r="D3" s="37" t="s">
        <v>28</v>
      </c>
      <c r="E3" s="37" t="s">
        <v>29</v>
      </c>
      <c r="F3" s="37" t="s">
        <v>30</v>
      </c>
      <c r="G3" s="37" t="s">
        <v>31</v>
      </c>
      <c r="H3" s="37" t="s">
        <v>34</v>
      </c>
      <c r="I3" s="37" t="s">
        <v>37</v>
      </c>
      <c r="J3" s="37" t="s">
        <v>39</v>
      </c>
      <c r="K3" s="37" t="s">
        <v>41</v>
      </c>
      <c r="L3" s="37" t="s">
        <v>43</v>
      </c>
      <c r="M3" s="37" t="s">
        <v>45</v>
      </c>
      <c r="N3" s="37" t="s">
        <v>46</v>
      </c>
      <c r="O3" s="37" t="s">
        <v>47</v>
      </c>
    </row>
    <row r="4">
      <c r="A4" s="39" t="s">
        <v>77</v>
      </c>
      <c r="B4" s="42">
        <f>SUM('2025'!$C4:$O4)</f>
        <v>8000000</v>
      </c>
      <c r="C4" s="42"/>
      <c r="D4" s="42">
        <f t="shared" ref="D4:O4" si="1">D25</f>
        <v>1480000</v>
      </c>
      <c r="E4" s="42">
        <f t="shared" si="1"/>
        <v>1230000</v>
      </c>
      <c r="F4" s="42">
        <f t="shared" si="1"/>
        <v>0</v>
      </c>
      <c r="G4" s="42">
        <f t="shared" si="1"/>
        <v>0</v>
      </c>
      <c r="H4" s="42">
        <f t="shared" si="1"/>
        <v>400000</v>
      </c>
      <c r="I4" s="42">
        <f t="shared" si="1"/>
        <v>150000</v>
      </c>
      <c r="J4" s="42">
        <f t="shared" si="1"/>
        <v>1520000</v>
      </c>
      <c r="K4" s="42">
        <f t="shared" si="1"/>
        <v>0</v>
      </c>
      <c r="L4" s="42">
        <f t="shared" si="1"/>
        <v>0</v>
      </c>
      <c r="M4" s="42">
        <f t="shared" si="1"/>
        <v>2970000</v>
      </c>
      <c r="N4" s="42">
        <f t="shared" si="1"/>
        <v>250000</v>
      </c>
      <c r="O4" s="42">
        <f t="shared" si="1"/>
        <v>0</v>
      </c>
    </row>
    <row r="5">
      <c r="A5" s="39" t="s">
        <v>80</v>
      </c>
      <c r="B5" s="42">
        <f>SUM('2025'!$C5:$O5)</f>
        <v>8362953</v>
      </c>
      <c r="C5" s="42"/>
      <c r="D5" s="42">
        <f t="shared" ref="D5:O5" si="2">D42</f>
        <v>1296810</v>
      </c>
      <c r="E5" s="42">
        <f t="shared" si="2"/>
        <v>841199</v>
      </c>
      <c r="F5" s="42">
        <f t="shared" si="2"/>
        <v>25119</v>
      </c>
      <c r="G5" s="42">
        <f t="shared" si="2"/>
        <v>25005</v>
      </c>
      <c r="H5" s="42">
        <f t="shared" si="2"/>
        <v>1122393</v>
      </c>
      <c r="I5" s="42">
        <f t="shared" si="2"/>
        <v>605000</v>
      </c>
      <c r="J5" s="42">
        <f t="shared" si="2"/>
        <v>25026</v>
      </c>
      <c r="K5" s="42">
        <f t="shared" si="2"/>
        <v>109035</v>
      </c>
      <c r="L5" s="42">
        <f t="shared" si="2"/>
        <v>781797</v>
      </c>
      <c r="M5" s="42">
        <f t="shared" si="2"/>
        <v>1701685</v>
      </c>
      <c r="N5" s="42">
        <f t="shared" si="2"/>
        <v>1829884</v>
      </c>
      <c r="O5" s="42">
        <f t="shared" si="2"/>
        <v>0</v>
      </c>
    </row>
    <row r="6">
      <c r="A6" s="39" t="s">
        <v>83</v>
      </c>
      <c r="B6" s="42">
        <f>SUM('2025'!$C6:$O6)</f>
        <v>7935</v>
      </c>
      <c r="C6" s="42"/>
      <c r="D6" s="42">
        <f t="shared" ref="D6:O6" si="3">D60</f>
        <v>0</v>
      </c>
      <c r="E6" s="42">
        <f t="shared" si="3"/>
        <v>0</v>
      </c>
      <c r="F6" s="42">
        <f t="shared" si="3"/>
        <v>0</v>
      </c>
      <c r="G6" s="42">
        <f t="shared" si="3"/>
        <v>0</v>
      </c>
      <c r="H6" s="42">
        <f t="shared" si="3"/>
        <v>600</v>
      </c>
      <c r="I6" s="42">
        <f t="shared" si="3"/>
        <v>225</v>
      </c>
      <c r="J6" s="42">
        <f t="shared" si="3"/>
        <v>2280</v>
      </c>
      <c r="K6" s="42">
        <f t="shared" si="3"/>
        <v>0</v>
      </c>
      <c r="L6" s="42">
        <f t="shared" si="3"/>
        <v>0</v>
      </c>
      <c r="M6" s="42">
        <f t="shared" si="3"/>
        <v>4455</v>
      </c>
      <c r="N6" s="42">
        <f t="shared" si="3"/>
        <v>375</v>
      </c>
      <c r="O6" s="42">
        <f t="shared" si="3"/>
        <v>0</v>
      </c>
    </row>
    <row r="7">
      <c r="A7" s="39" t="s">
        <v>84</v>
      </c>
      <c r="B7" s="42">
        <f>SUM('2025'!$C7:$O7)</f>
        <v>1064500</v>
      </c>
      <c r="C7" s="42"/>
      <c r="D7" s="42">
        <f t="array" ref="D7">'2025'!$D$67</f>
        <v>148000</v>
      </c>
      <c r="E7" s="42">
        <f t="array" ref="E7">'2025'!$E$67</f>
        <v>123000</v>
      </c>
      <c r="F7" s="42">
        <f t="array" ref="F7">'2025'!F$67</f>
        <v>0</v>
      </c>
      <c r="G7" s="42">
        <f t="array" ref="G7">'2025'!G$67</f>
        <v>0</v>
      </c>
      <c r="H7" s="42">
        <f t="array" ref="H7">'2025'!H$67</f>
        <v>60000</v>
      </c>
      <c r="I7" s="42">
        <f t="array" ref="I7">'2025'!I$67</f>
        <v>22500</v>
      </c>
      <c r="J7" s="42">
        <f t="array" ref="J7">'2025'!J$67</f>
        <v>228000</v>
      </c>
      <c r="K7" s="42">
        <f t="array" ref="K7">'2025'!K$67</f>
        <v>0</v>
      </c>
      <c r="L7" s="42">
        <f t="array" ref="L7">'2025'!L$67</f>
        <v>0</v>
      </c>
      <c r="M7" s="42">
        <f t="array" ref="M7">'2025'!M$67</f>
        <v>445500</v>
      </c>
      <c r="N7" s="42">
        <f t="array" ref="N7">'2025'!N$67</f>
        <v>37500</v>
      </c>
      <c r="O7" s="42">
        <f t="array" ref="O7">'2025'!O$67</f>
        <v>0</v>
      </c>
    </row>
    <row r="8">
      <c r="A8" s="39" t="s">
        <v>98</v>
      </c>
      <c r="B8" s="42">
        <f>SUM('2025'!$C8:$O8)</f>
        <v>800000</v>
      </c>
      <c r="C8" s="42"/>
      <c r="D8" s="42">
        <f t="shared" ref="D8:O8" si="4">D78</f>
        <v>148000</v>
      </c>
      <c r="E8" s="42">
        <f t="shared" si="4"/>
        <v>123000</v>
      </c>
      <c r="F8" s="42">
        <f t="shared" si="4"/>
        <v>0</v>
      </c>
      <c r="G8" s="42">
        <f t="shared" si="4"/>
        <v>0</v>
      </c>
      <c r="H8" s="42">
        <f t="shared" si="4"/>
        <v>40000</v>
      </c>
      <c r="I8" s="42">
        <f t="shared" si="4"/>
        <v>15000</v>
      </c>
      <c r="J8" s="42">
        <f t="shared" si="4"/>
        <v>152000</v>
      </c>
      <c r="K8" s="42">
        <f t="shared" si="4"/>
        <v>0</v>
      </c>
      <c r="L8" s="42">
        <f t="shared" si="4"/>
        <v>0</v>
      </c>
      <c r="M8" s="42">
        <f t="shared" si="4"/>
        <v>297000</v>
      </c>
      <c r="N8" s="42">
        <f t="shared" si="4"/>
        <v>25000</v>
      </c>
      <c r="O8" s="42">
        <f t="shared" si="4"/>
        <v>0</v>
      </c>
    </row>
    <row r="9">
      <c r="A9" s="61" t="s">
        <v>7</v>
      </c>
      <c r="B9" s="63">
        <f>SUM('2025'!$C9:$O9)</f>
        <v>-2235388</v>
      </c>
      <c r="C9" s="63"/>
      <c r="D9" s="63">
        <f t="shared" ref="D9:O9" si="5">D4-SUM(D5:D8)</f>
        <v>-112810</v>
      </c>
      <c r="E9" s="63">
        <f t="shared" si="5"/>
        <v>142801</v>
      </c>
      <c r="F9" s="63">
        <f t="shared" si="5"/>
        <v>-25119</v>
      </c>
      <c r="G9" s="63">
        <f t="shared" si="5"/>
        <v>-25005</v>
      </c>
      <c r="H9" s="63">
        <f t="shared" si="5"/>
        <v>-822993</v>
      </c>
      <c r="I9" s="63">
        <f t="shared" si="5"/>
        <v>-492725</v>
      </c>
      <c r="J9" s="63">
        <f t="shared" si="5"/>
        <v>1112694</v>
      </c>
      <c r="K9" s="63">
        <f t="shared" si="5"/>
        <v>-109035</v>
      </c>
      <c r="L9" s="63">
        <f t="shared" si="5"/>
        <v>-781797</v>
      </c>
      <c r="M9" s="64">
        <f t="shared" si="5"/>
        <v>521360</v>
      </c>
      <c r="N9" s="64">
        <f t="shared" si="5"/>
        <v>-1642759</v>
      </c>
      <c r="O9" s="64">
        <f t="shared" si="5"/>
        <v>0</v>
      </c>
    </row>
    <row r="10">
      <c r="A10" s="2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>
      <c r="A11" s="2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>
      <c r="A13" s="32" t="s">
        <v>77</v>
      </c>
      <c r="B13" s="19"/>
      <c r="C13" s="19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66" t="s">
        <v>101</v>
      </c>
      <c r="B14" s="67" t="s">
        <v>7</v>
      </c>
      <c r="C14" s="67" t="s">
        <v>12</v>
      </c>
      <c r="D14" s="67" t="s">
        <v>28</v>
      </c>
      <c r="E14" s="67" t="s">
        <v>29</v>
      </c>
      <c r="F14" s="67" t="s">
        <v>30</v>
      </c>
      <c r="G14" s="67" t="s">
        <v>31</v>
      </c>
      <c r="H14" s="67" t="s">
        <v>34</v>
      </c>
      <c r="I14" s="67" t="s">
        <v>37</v>
      </c>
      <c r="J14" s="67" t="s">
        <v>39</v>
      </c>
      <c r="K14" s="67" t="s">
        <v>41</v>
      </c>
      <c r="L14" s="67" t="s">
        <v>43</v>
      </c>
      <c r="M14" s="67" t="s">
        <v>45</v>
      </c>
      <c r="N14" s="67" t="s">
        <v>46</v>
      </c>
      <c r="O14" s="67" t="s">
        <v>47</v>
      </c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66" t="s">
        <v>102</v>
      </c>
      <c r="B15" s="67"/>
      <c r="C15" s="67"/>
      <c r="D15" s="68">
        <v>0.0</v>
      </c>
      <c r="E15" s="68">
        <v>0.0</v>
      </c>
      <c r="F15" s="68">
        <v>0.0</v>
      </c>
      <c r="G15" s="69">
        <v>0.0</v>
      </c>
      <c r="H15" s="69">
        <v>0.0</v>
      </c>
      <c r="I15" s="69">
        <v>150000.0</v>
      </c>
      <c r="J15" s="69">
        <f>1100000+420000</f>
        <v>1520000</v>
      </c>
      <c r="K15" s="69">
        <v>0.0</v>
      </c>
      <c r="L15" s="69">
        <v>0.0</v>
      </c>
      <c r="M15" s="69">
        <f>1100000+920000+700000</f>
        <v>2720000</v>
      </c>
      <c r="N15" s="70">
        <v>250000.0</v>
      </c>
      <c r="O15" s="69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61" t="s">
        <v>103</v>
      </c>
      <c r="B16" s="68"/>
      <c r="C16" s="68"/>
      <c r="D16" s="68">
        <v>0.0</v>
      </c>
      <c r="E16" s="68">
        <v>0.0</v>
      </c>
      <c r="F16" s="68">
        <v>0.0</v>
      </c>
      <c r="G16" s="68">
        <v>0.0</v>
      </c>
      <c r="H16" s="68">
        <v>400000.0</v>
      </c>
      <c r="I16" s="68">
        <v>0.0</v>
      </c>
      <c r="J16" s="68">
        <v>0.0</v>
      </c>
      <c r="K16" s="68">
        <v>0.0</v>
      </c>
      <c r="L16" s="68">
        <v>0.0</v>
      </c>
      <c r="M16" s="68">
        <v>0.0</v>
      </c>
      <c r="N16" s="68"/>
      <c r="O16" s="68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61" t="s">
        <v>104</v>
      </c>
      <c r="B17" s="68"/>
      <c r="C17" s="68"/>
      <c r="D17" s="68">
        <v>0.0</v>
      </c>
      <c r="E17" s="68">
        <v>0.0</v>
      </c>
      <c r="F17" s="68">
        <v>0.0</v>
      </c>
      <c r="G17" s="68">
        <v>0.0</v>
      </c>
      <c r="H17" s="68">
        <v>0.0</v>
      </c>
      <c r="I17" s="68">
        <v>0.0</v>
      </c>
      <c r="J17" s="68">
        <v>0.0</v>
      </c>
      <c r="K17" s="68">
        <v>0.0</v>
      </c>
      <c r="L17" s="68">
        <v>0.0</v>
      </c>
      <c r="M17" s="68">
        <v>0.0</v>
      </c>
      <c r="N17" s="68"/>
      <c r="O17" s="68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idden="1">
      <c r="A18" s="61"/>
      <c r="B18" s="68"/>
      <c r="C18" s="68"/>
      <c r="D18" s="68">
        <v>0.0</v>
      </c>
      <c r="E18" s="68">
        <v>0.0</v>
      </c>
      <c r="F18" s="68">
        <v>0.0</v>
      </c>
      <c r="G18" s="68"/>
      <c r="H18" s="68"/>
      <c r="I18" s="68"/>
      <c r="J18" s="68"/>
      <c r="K18" s="68"/>
      <c r="L18" s="68"/>
      <c r="M18" s="68"/>
      <c r="N18" s="68"/>
      <c r="O18" s="68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idden="1">
      <c r="A19" s="61"/>
      <c r="B19" s="68"/>
      <c r="C19" s="68"/>
      <c r="D19" s="68">
        <v>0.0</v>
      </c>
      <c r="E19" s="68">
        <v>0.0</v>
      </c>
      <c r="F19" s="68">
        <v>0.0</v>
      </c>
      <c r="G19" s="68"/>
      <c r="H19" s="68"/>
      <c r="I19" s="68"/>
      <c r="J19" s="68"/>
      <c r="K19" s="68"/>
      <c r="L19" s="68"/>
      <c r="M19" s="68"/>
      <c r="N19" s="68"/>
      <c r="O19" s="68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5.75" hidden="1" customHeight="1">
      <c r="A20" s="61"/>
      <c r="B20" s="68"/>
      <c r="C20" s="68"/>
      <c r="D20" s="68">
        <v>0.0</v>
      </c>
      <c r="E20" s="68">
        <v>0.0</v>
      </c>
      <c r="F20" s="68">
        <v>0.0</v>
      </c>
      <c r="G20" s="68"/>
      <c r="H20" s="68"/>
      <c r="I20" s="68"/>
      <c r="J20" s="68"/>
      <c r="K20" s="68"/>
      <c r="L20" s="68"/>
      <c r="M20" s="68"/>
      <c r="N20" s="68"/>
      <c r="O20" s="68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5.75" hidden="1" customHeight="1">
      <c r="A21" s="61"/>
      <c r="B21" s="68"/>
      <c r="C21" s="68"/>
      <c r="D21" s="68">
        <v>0.0</v>
      </c>
      <c r="E21" s="68">
        <v>0.0</v>
      </c>
      <c r="F21" s="68">
        <v>0.0</v>
      </c>
      <c r="G21" s="68"/>
      <c r="H21" s="68"/>
      <c r="I21" s="68"/>
      <c r="J21" s="68"/>
      <c r="K21" s="68"/>
      <c r="L21" s="68"/>
      <c r="M21" s="68"/>
      <c r="N21" s="68"/>
      <c r="O21" s="68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5.75" hidden="1" customHeight="1">
      <c r="A22" s="61"/>
      <c r="B22" s="68"/>
      <c r="C22" s="68"/>
      <c r="D22" s="68">
        <v>0.0</v>
      </c>
      <c r="E22" s="68">
        <v>0.0</v>
      </c>
      <c r="F22" s="68">
        <v>0.0</v>
      </c>
      <c r="G22" s="68"/>
      <c r="H22" s="68"/>
      <c r="I22" s="68"/>
      <c r="J22" s="68"/>
      <c r="K22" s="68"/>
      <c r="L22" s="68"/>
      <c r="M22" s="68"/>
      <c r="N22" s="68"/>
      <c r="O22" s="68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5.75" hidden="1" customHeight="1">
      <c r="A23" s="61"/>
      <c r="B23" s="68"/>
      <c r="C23" s="68"/>
      <c r="D23" s="68">
        <v>0.0</v>
      </c>
      <c r="E23" s="68">
        <v>0.0</v>
      </c>
      <c r="F23" s="68">
        <v>0.0</v>
      </c>
      <c r="G23" s="68"/>
      <c r="H23" s="68"/>
      <c r="I23" s="68"/>
      <c r="J23" s="68"/>
      <c r="K23" s="68"/>
      <c r="L23" s="68"/>
      <c r="M23" s="68"/>
      <c r="N23" s="68"/>
      <c r="O23" s="68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5.75" customHeight="1">
      <c r="A24" s="61" t="s">
        <v>106</v>
      </c>
      <c r="B24" s="68"/>
      <c r="C24" s="68"/>
      <c r="D24" s="68">
        <v>1480000.0</v>
      </c>
      <c r="E24" s="68">
        <v>1230000.0</v>
      </c>
      <c r="F24" s="68">
        <v>0.0</v>
      </c>
      <c r="G24" s="68">
        <v>0.0</v>
      </c>
      <c r="H24" s="68">
        <v>0.0</v>
      </c>
      <c r="I24" s="68">
        <v>0.0</v>
      </c>
      <c r="J24" s="68">
        <v>0.0</v>
      </c>
      <c r="K24" s="68">
        <v>0.0</v>
      </c>
      <c r="L24" s="68">
        <v>0.0</v>
      </c>
      <c r="M24" s="68">
        <v>250000.0</v>
      </c>
      <c r="N24" s="68"/>
      <c r="O24" s="68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5.75" customHeight="1">
      <c r="A25" s="66" t="s">
        <v>7</v>
      </c>
      <c r="B25" s="72">
        <f>SUM(C25:O25)</f>
        <v>8000000</v>
      </c>
      <c r="C25" s="72"/>
      <c r="D25" s="72">
        <f t="shared" ref="D25:O25" si="6">SUM(D15:D24)</f>
        <v>1480000</v>
      </c>
      <c r="E25" s="72">
        <f t="shared" si="6"/>
        <v>1230000</v>
      </c>
      <c r="F25" s="72">
        <f t="shared" si="6"/>
        <v>0</v>
      </c>
      <c r="G25" s="72">
        <f t="shared" si="6"/>
        <v>0</v>
      </c>
      <c r="H25" s="72">
        <f t="shared" si="6"/>
        <v>400000</v>
      </c>
      <c r="I25" s="72">
        <f t="shared" si="6"/>
        <v>150000</v>
      </c>
      <c r="J25" s="72">
        <f t="shared" si="6"/>
        <v>1520000</v>
      </c>
      <c r="K25" s="72">
        <f t="shared" si="6"/>
        <v>0</v>
      </c>
      <c r="L25" s="72">
        <f t="shared" si="6"/>
        <v>0</v>
      </c>
      <c r="M25" s="72">
        <f t="shared" si="6"/>
        <v>2970000</v>
      </c>
      <c r="N25" s="72">
        <f t="shared" si="6"/>
        <v>250000</v>
      </c>
      <c r="O25" s="72">
        <f t="shared" si="6"/>
        <v>0</v>
      </c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5.75" customHeight="1">
      <c r="A26" s="2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ht="15.75" customHeight="1">
      <c r="A27" s="32" t="s">
        <v>80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5.75" customHeight="1">
      <c r="A28" s="69" t="s">
        <v>101</v>
      </c>
      <c r="B28" s="68" t="s">
        <v>7</v>
      </c>
      <c r="C28" s="68" t="s">
        <v>12</v>
      </c>
      <c r="D28" s="68" t="s">
        <v>28</v>
      </c>
      <c r="E28" s="68" t="s">
        <v>29</v>
      </c>
      <c r="F28" s="68" t="s">
        <v>30</v>
      </c>
      <c r="G28" s="68" t="s">
        <v>31</v>
      </c>
      <c r="H28" s="68" t="s">
        <v>34</v>
      </c>
      <c r="I28" s="68" t="s">
        <v>37</v>
      </c>
      <c r="J28" s="68" t="s">
        <v>39</v>
      </c>
      <c r="K28" s="68" t="s">
        <v>41</v>
      </c>
      <c r="L28" s="68" t="s">
        <v>43</v>
      </c>
      <c r="M28" s="68" t="s">
        <v>45</v>
      </c>
      <c r="N28" s="68" t="s">
        <v>46</v>
      </c>
      <c r="O28" s="68" t="s">
        <v>47</v>
      </c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5.75" customHeight="1">
      <c r="A29" s="66" t="s">
        <v>108</v>
      </c>
      <c r="B29" s="68">
        <f t="shared" ref="B29:B30" si="8">SUM(D29:O29)</f>
        <v>727272.7273</v>
      </c>
      <c r="C29" s="68"/>
      <c r="D29" s="68">
        <f t="shared" ref="D29:O29" si="7">D25/11</f>
        <v>134545.4545</v>
      </c>
      <c r="E29" s="68">
        <f t="shared" si="7"/>
        <v>111818.1818</v>
      </c>
      <c r="F29" s="68">
        <f t="shared" si="7"/>
        <v>0</v>
      </c>
      <c r="G29" s="68">
        <f t="shared" si="7"/>
        <v>0</v>
      </c>
      <c r="H29" s="68">
        <f t="shared" si="7"/>
        <v>36363.63636</v>
      </c>
      <c r="I29" s="68">
        <f t="shared" si="7"/>
        <v>13636.36364</v>
      </c>
      <c r="J29" s="68">
        <f t="shared" si="7"/>
        <v>138181.8182</v>
      </c>
      <c r="K29" s="68">
        <f t="shared" si="7"/>
        <v>0</v>
      </c>
      <c r="L29" s="68">
        <f t="shared" si="7"/>
        <v>0</v>
      </c>
      <c r="M29" s="68">
        <f t="shared" si="7"/>
        <v>270000</v>
      </c>
      <c r="N29" s="68">
        <f t="shared" si="7"/>
        <v>22727.27273</v>
      </c>
      <c r="O29" s="68">
        <f t="shared" si="7"/>
        <v>0</v>
      </c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5.75" customHeight="1">
      <c r="A30" s="66" t="s">
        <v>109</v>
      </c>
      <c r="B30" s="72">
        <f t="shared" si="8"/>
        <v>720000</v>
      </c>
      <c r="C30" s="72"/>
      <c r="D30" s="72">
        <f t="shared" ref="D30:O30" si="9">ROUND(D29,-4)</f>
        <v>130000</v>
      </c>
      <c r="E30" s="72">
        <f t="shared" si="9"/>
        <v>110000</v>
      </c>
      <c r="F30" s="72">
        <f t="shared" si="9"/>
        <v>0</v>
      </c>
      <c r="G30" s="72">
        <f t="shared" si="9"/>
        <v>0</v>
      </c>
      <c r="H30" s="72">
        <f t="shared" si="9"/>
        <v>40000</v>
      </c>
      <c r="I30" s="72">
        <f t="shared" si="9"/>
        <v>10000</v>
      </c>
      <c r="J30" s="72">
        <f t="shared" si="9"/>
        <v>140000</v>
      </c>
      <c r="K30" s="72">
        <f t="shared" si="9"/>
        <v>0</v>
      </c>
      <c r="L30" s="72">
        <f t="shared" si="9"/>
        <v>0</v>
      </c>
      <c r="M30" s="72">
        <f t="shared" si="9"/>
        <v>270000</v>
      </c>
      <c r="N30" s="72">
        <f t="shared" si="9"/>
        <v>20000</v>
      </c>
      <c r="O30" s="72">
        <f t="shared" si="9"/>
        <v>0</v>
      </c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5.75" customHeight="1">
      <c r="A31" s="65"/>
      <c r="B31" s="65"/>
      <c r="C31" s="65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5.75" customHeight="1">
      <c r="A32" s="66" t="s">
        <v>101</v>
      </c>
      <c r="B32" s="67" t="s">
        <v>7</v>
      </c>
      <c r="C32" s="67" t="s">
        <v>12</v>
      </c>
      <c r="D32" s="67" t="s">
        <v>28</v>
      </c>
      <c r="E32" s="67" t="s">
        <v>29</v>
      </c>
      <c r="F32" s="67" t="s">
        <v>30</v>
      </c>
      <c r="G32" s="67" t="s">
        <v>31</v>
      </c>
      <c r="H32" s="67" t="s">
        <v>34</v>
      </c>
      <c r="I32" s="67" t="s">
        <v>37</v>
      </c>
      <c r="J32" s="67" t="s">
        <v>39</v>
      </c>
      <c r="K32" s="67" t="s">
        <v>41</v>
      </c>
      <c r="L32" s="67" t="s">
        <v>43</v>
      </c>
      <c r="M32" s="67" t="s">
        <v>45</v>
      </c>
      <c r="N32" s="67" t="s">
        <v>46</v>
      </c>
      <c r="O32" s="67" t="s">
        <v>47</v>
      </c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5.75" customHeight="1">
      <c r="A33" s="61" t="s">
        <v>115</v>
      </c>
      <c r="B33" s="68">
        <f>SUM('2025'!$D33:$O33)</f>
        <v>777040</v>
      </c>
      <c r="C33" s="68"/>
      <c r="D33" s="68">
        <v>0.0</v>
      </c>
      <c r="E33" s="68">
        <v>0.0</v>
      </c>
      <c r="F33" s="68">
        <v>0.0</v>
      </c>
      <c r="G33" s="68">
        <v>0.0</v>
      </c>
      <c r="H33" s="68">
        <v>0.0</v>
      </c>
      <c r="I33" s="73">
        <v>0.0</v>
      </c>
      <c r="J33" s="73">
        <v>0.0</v>
      </c>
      <c r="K33" s="73">
        <v>0.0</v>
      </c>
      <c r="L33" s="68">
        <f>165280</f>
        <v>165280</v>
      </c>
      <c r="M33" s="68">
        <f>120000</f>
        <v>120000</v>
      </c>
      <c r="N33" s="68"/>
      <c r="O33" s="74">
        <v>491760.0</v>
      </c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5.75" customHeight="1">
      <c r="A34" s="61" t="s">
        <v>116</v>
      </c>
      <c r="B34" s="68">
        <f>SUM('2025'!$D34:$O34)</f>
        <v>560276</v>
      </c>
      <c r="C34" s="68"/>
      <c r="D34" s="68">
        <v>0.0</v>
      </c>
      <c r="E34" s="68">
        <v>0.0</v>
      </c>
      <c r="F34" s="68">
        <v>0.0</v>
      </c>
      <c r="G34" s="68">
        <v>0.0</v>
      </c>
      <c r="H34" s="68">
        <v>0.0</v>
      </c>
      <c r="I34" s="75">
        <v>0.0</v>
      </c>
      <c r="J34" s="75">
        <v>0.0</v>
      </c>
      <c r="K34" s="75">
        <v>0.0</v>
      </c>
      <c r="L34" s="68">
        <v>0.0</v>
      </c>
      <c r="M34" s="68">
        <f>560276</f>
        <v>560276</v>
      </c>
      <c r="N34" s="68"/>
      <c r="O34" s="68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5.75" customHeight="1">
      <c r="A35" s="61" t="s">
        <v>117</v>
      </c>
      <c r="B35" s="68">
        <f>SUM('2025'!$D35:$O35)</f>
        <v>0</v>
      </c>
      <c r="C35" s="68"/>
      <c r="D35" s="68">
        <v>0.0</v>
      </c>
      <c r="E35" s="68">
        <v>0.0</v>
      </c>
      <c r="F35" s="68">
        <v>0.0</v>
      </c>
      <c r="G35" s="68">
        <v>0.0</v>
      </c>
      <c r="H35" s="68">
        <v>0.0</v>
      </c>
      <c r="I35" s="73">
        <v>0.0</v>
      </c>
      <c r="J35" s="73">
        <v>0.0</v>
      </c>
      <c r="K35" s="73">
        <v>0.0</v>
      </c>
      <c r="L35" s="68">
        <v>0.0</v>
      </c>
      <c r="M35" s="68"/>
      <c r="N35" s="68"/>
      <c r="O35" s="68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5.75" customHeight="1">
      <c r="A36" s="61" t="s">
        <v>118</v>
      </c>
      <c r="B36" s="68">
        <f>SUM('2025'!$D36:$O36)</f>
        <v>415000</v>
      </c>
      <c r="C36" s="68"/>
      <c r="D36" s="68">
        <v>0.0</v>
      </c>
      <c r="E36" s="68">
        <v>0.0</v>
      </c>
      <c r="F36" s="68">
        <v>0.0</v>
      </c>
      <c r="G36" s="68">
        <v>0.0</v>
      </c>
      <c r="H36" s="68">
        <v>0.0</v>
      </c>
      <c r="I36" s="75">
        <v>0.0</v>
      </c>
      <c r="J36" s="75">
        <v>0.0</v>
      </c>
      <c r="K36" s="75">
        <v>0.0</v>
      </c>
      <c r="L36" s="68">
        <f>415000</f>
        <v>415000</v>
      </c>
      <c r="M36" s="68"/>
      <c r="N36" s="68"/>
      <c r="O36" s="68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5.75" customHeight="1">
      <c r="A37" s="61" t="s">
        <v>119</v>
      </c>
      <c r="B37" s="68">
        <f>SUM('2025'!$D37:$O37)</f>
        <v>53633</v>
      </c>
      <c r="C37" s="68"/>
      <c r="D37" s="68">
        <v>0.0</v>
      </c>
      <c r="E37" s="68">
        <v>0.0</v>
      </c>
      <c r="F37" s="68">
        <v>0.0</v>
      </c>
      <c r="G37" s="68">
        <v>0.0</v>
      </c>
      <c r="H37" s="68">
        <v>0.0</v>
      </c>
      <c r="I37" s="73">
        <v>0.0</v>
      </c>
      <c r="J37" s="73">
        <v>0.0</v>
      </c>
      <c r="K37" s="73">
        <v>0.0</v>
      </c>
      <c r="L37" s="68">
        <v>0.0</v>
      </c>
      <c r="M37" s="74">
        <v>28633.0</v>
      </c>
      <c r="N37" s="68"/>
      <c r="O37" s="74">
        <v>25000.0</v>
      </c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5.75" customHeight="1">
      <c r="A38" s="61" t="s">
        <v>120</v>
      </c>
      <c r="B38" s="68">
        <f>SUM('2025'!$D38:$O38)</f>
        <v>0</v>
      </c>
      <c r="C38" s="68"/>
      <c r="D38" s="68">
        <v>0.0</v>
      </c>
      <c r="E38" s="68">
        <v>0.0</v>
      </c>
      <c r="F38" s="68">
        <v>0.0</v>
      </c>
      <c r="G38" s="68">
        <v>0.0</v>
      </c>
      <c r="H38" s="68">
        <v>0.0</v>
      </c>
      <c r="I38" s="75">
        <v>0.0</v>
      </c>
      <c r="J38" s="75">
        <v>0.0</v>
      </c>
      <c r="K38" s="75">
        <v>0.0</v>
      </c>
      <c r="L38" s="68">
        <v>0.0</v>
      </c>
      <c r="M38" s="68"/>
      <c r="N38" s="68"/>
      <c r="O38" s="68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5.75" customHeight="1">
      <c r="A39" s="61" t="s">
        <v>121</v>
      </c>
      <c r="B39" s="68">
        <f>SUM('2025'!$D39:$O39)</f>
        <v>840484</v>
      </c>
      <c r="C39" s="68"/>
      <c r="D39" s="68">
        <v>0.0</v>
      </c>
      <c r="E39" s="68">
        <v>0.0</v>
      </c>
      <c r="F39" s="68">
        <v>0.0</v>
      </c>
      <c r="G39" s="68">
        <v>0.0</v>
      </c>
      <c r="H39" s="68">
        <v>0.0</v>
      </c>
      <c r="I39" s="68">
        <v>580000.0</v>
      </c>
      <c r="J39" s="68">
        <v>0.0</v>
      </c>
      <c r="K39" s="68">
        <v>83985.0</v>
      </c>
      <c r="L39" s="68">
        <f>176499</f>
        <v>176499</v>
      </c>
      <c r="M39" s="68"/>
      <c r="N39" s="68"/>
      <c r="O39" s="68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5.75" customHeight="1">
      <c r="A40" s="66" t="s">
        <v>122</v>
      </c>
      <c r="B40" s="68">
        <v>0.0</v>
      </c>
      <c r="C40" s="68"/>
      <c r="D40" s="68">
        <v>0.0</v>
      </c>
      <c r="E40" s="68">
        <v>0.0</v>
      </c>
      <c r="F40" s="68">
        <v>0.0</v>
      </c>
      <c r="G40" s="68">
        <v>0.0</v>
      </c>
      <c r="H40" s="68">
        <f>221925+875468</f>
        <v>1097393</v>
      </c>
      <c r="I40" s="68">
        <v>0.0</v>
      </c>
      <c r="J40" s="68">
        <v>0.0</v>
      </c>
      <c r="K40" s="68">
        <v>0.0</v>
      </c>
      <c r="L40" s="68">
        <v>0.0</v>
      </c>
      <c r="M40" s="68">
        <f>560276</f>
        <v>560276</v>
      </c>
      <c r="N40" s="68"/>
      <c r="O40" s="68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5.75" customHeight="1">
      <c r="A41" s="66" t="s">
        <v>123</v>
      </c>
      <c r="B41" s="68">
        <f>SUM('2025'!$D41:$O41)</f>
        <v>4445611</v>
      </c>
      <c r="C41" s="68"/>
      <c r="D41" s="68">
        <v>1166810.0</v>
      </c>
      <c r="E41" s="68">
        <v>841199.0</v>
      </c>
      <c r="F41" s="68">
        <v>25119.0</v>
      </c>
      <c r="G41" s="68">
        <v>25005.0</v>
      </c>
      <c r="H41" s="68">
        <v>25000.0</v>
      </c>
      <c r="I41" s="68">
        <v>25000.0</v>
      </c>
      <c r="J41" s="68">
        <v>25026.0</v>
      </c>
      <c r="K41" s="68">
        <v>25050.0</v>
      </c>
      <c r="L41" s="68">
        <f>25018</f>
        <v>25018</v>
      </c>
      <c r="M41" s="68">
        <f>50000+72000+310500</f>
        <v>432500</v>
      </c>
      <c r="N41" s="68">
        <f>1829884</f>
        <v>1829884</v>
      </c>
      <c r="O41" s="68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5.75" customHeight="1">
      <c r="A42" s="66" t="s">
        <v>97</v>
      </c>
      <c r="B42" s="72">
        <f>SUM(C42:O42)</f>
        <v>8362953</v>
      </c>
      <c r="C42" s="72"/>
      <c r="D42" s="72">
        <f>SUM(D33:D41)+D30</f>
        <v>1296810</v>
      </c>
      <c r="E42" s="72">
        <f t="shared" ref="E42:F42" si="10">SUM(E39:E41)</f>
        <v>841199</v>
      </c>
      <c r="F42" s="72">
        <f t="shared" si="10"/>
        <v>25119</v>
      </c>
      <c r="G42" s="72">
        <f t="shared" ref="G42:M42" si="11">SUM(G33:G41)</f>
        <v>25005</v>
      </c>
      <c r="H42" s="72">
        <f t="shared" si="11"/>
        <v>1122393</v>
      </c>
      <c r="I42" s="72">
        <f t="shared" si="11"/>
        <v>605000</v>
      </c>
      <c r="J42" s="72">
        <f t="shared" si="11"/>
        <v>25026</v>
      </c>
      <c r="K42" s="72">
        <f t="shared" si="11"/>
        <v>109035</v>
      </c>
      <c r="L42" s="72">
        <f t="shared" si="11"/>
        <v>781797</v>
      </c>
      <c r="M42" s="72">
        <f t="shared" si="11"/>
        <v>1701685</v>
      </c>
      <c r="N42" s="72">
        <f t="shared" ref="N42:O42" si="12">SUM(N39:N41)</f>
        <v>1829884</v>
      </c>
      <c r="O42" s="72">
        <f t="shared" si="12"/>
        <v>0</v>
      </c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5.75" customHeight="1">
      <c r="A43" s="2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5.75" customHeight="1">
      <c r="A44" s="2" t="s">
        <v>124</v>
      </c>
      <c r="B44" s="26"/>
      <c r="C44" s="26"/>
      <c r="D44" s="26">
        <f t="shared" ref="D44:O44" si="13">D25*0.5</f>
        <v>740000</v>
      </c>
      <c r="E44" s="26">
        <f t="shared" si="13"/>
        <v>615000</v>
      </c>
      <c r="F44" s="26">
        <f t="shared" si="13"/>
        <v>0</v>
      </c>
      <c r="G44" s="26">
        <f t="shared" si="13"/>
        <v>0</v>
      </c>
      <c r="H44" s="26">
        <f t="shared" si="13"/>
        <v>200000</v>
      </c>
      <c r="I44" s="26">
        <f t="shared" si="13"/>
        <v>75000</v>
      </c>
      <c r="J44" s="26">
        <f t="shared" si="13"/>
        <v>760000</v>
      </c>
      <c r="K44" s="26">
        <f t="shared" si="13"/>
        <v>0</v>
      </c>
      <c r="L44" s="26">
        <f t="shared" si="13"/>
        <v>0</v>
      </c>
      <c r="M44" s="26">
        <f t="shared" si="13"/>
        <v>1485000</v>
      </c>
      <c r="N44" s="26">
        <f t="shared" si="13"/>
        <v>125000</v>
      </c>
      <c r="O44" s="26">
        <f t="shared" si="13"/>
        <v>0</v>
      </c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5.75" customHeight="1">
      <c r="A45" s="2" t="s">
        <v>125</v>
      </c>
      <c r="B45" s="26"/>
      <c r="C45" s="26"/>
      <c r="D45" s="26">
        <f t="shared" ref="D45:O45" si="14">D44-D42</f>
        <v>-556810</v>
      </c>
      <c r="E45" s="26">
        <f t="shared" si="14"/>
        <v>-226199</v>
      </c>
      <c r="F45" s="26">
        <f t="shared" si="14"/>
        <v>-25119</v>
      </c>
      <c r="G45" s="26">
        <f t="shared" si="14"/>
        <v>-25005</v>
      </c>
      <c r="H45" s="26">
        <f t="shared" si="14"/>
        <v>-922393</v>
      </c>
      <c r="I45" s="26">
        <f t="shared" si="14"/>
        <v>-530000</v>
      </c>
      <c r="J45" s="26">
        <f t="shared" si="14"/>
        <v>734974</v>
      </c>
      <c r="K45" s="26">
        <f t="shared" si="14"/>
        <v>-109035</v>
      </c>
      <c r="L45" s="26">
        <f t="shared" si="14"/>
        <v>-781797</v>
      </c>
      <c r="M45" s="26">
        <f t="shared" si="14"/>
        <v>-216685</v>
      </c>
      <c r="N45" s="26">
        <f t="shared" si="14"/>
        <v>-1704884</v>
      </c>
      <c r="O45" s="26">
        <f t="shared" si="14"/>
        <v>0</v>
      </c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5.75" customHeight="1">
      <c r="A46" s="65"/>
      <c r="B46" s="19"/>
      <c r="C46" s="19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5.75" customHeight="1">
      <c r="A47" s="32" t="s">
        <v>83</v>
      </c>
      <c r="B47" s="19"/>
      <c r="C47" s="19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5.75" customHeight="1">
      <c r="A48" s="39" t="s">
        <v>101</v>
      </c>
      <c r="B48" s="39" t="s">
        <v>7</v>
      </c>
      <c r="C48" s="39" t="s">
        <v>12</v>
      </c>
      <c r="D48" s="39" t="s">
        <v>28</v>
      </c>
      <c r="E48" s="39" t="s">
        <v>29</v>
      </c>
      <c r="F48" s="39" t="s">
        <v>30</v>
      </c>
      <c r="G48" s="39" t="s">
        <v>31</v>
      </c>
      <c r="H48" s="39" t="s">
        <v>34</v>
      </c>
      <c r="I48" s="39" t="s">
        <v>37</v>
      </c>
      <c r="J48" s="39" t="s">
        <v>39</v>
      </c>
      <c r="K48" s="39" t="s">
        <v>41</v>
      </c>
      <c r="L48" s="39" t="s">
        <v>43</v>
      </c>
      <c r="M48" s="39" t="s">
        <v>45</v>
      </c>
      <c r="N48" s="39" t="s">
        <v>46</v>
      </c>
      <c r="O48" s="39" t="s">
        <v>47</v>
      </c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5.75" customHeight="1">
      <c r="A49" s="39" t="s">
        <v>126</v>
      </c>
      <c r="B49" s="68">
        <f>SUM('2025'!$D49:$O49)</f>
        <v>120227.2727</v>
      </c>
      <c r="C49" s="39"/>
      <c r="D49" s="39">
        <v>0.0</v>
      </c>
      <c r="E49" s="39">
        <v>0.0</v>
      </c>
      <c r="F49" s="39">
        <v>0.0</v>
      </c>
      <c r="G49" s="39">
        <v>0.0</v>
      </c>
      <c r="H49" s="42">
        <f t="shared" ref="H49:O49" si="15">H$62/11</f>
        <v>9090.909091</v>
      </c>
      <c r="I49" s="42">
        <f t="shared" si="15"/>
        <v>3409.090909</v>
      </c>
      <c r="J49" s="42">
        <f t="shared" si="15"/>
        <v>34545.45455</v>
      </c>
      <c r="K49" s="42">
        <f t="shared" si="15"/>
        <v>0</v>
      </c>
      <c r="L49" s="42">
        <f t="shared" si="15"/>
        <v>0</v>
      </c>
      <c r="M49" s="42">
        <f t="shared" si="15"/>
        <v>67500</v>
      </c>
      <c r="N49" s="42">
        <f t="shared" si="15"/>
        <v>5681.818182</v>
      </c>
      <c r="O49" s="42">
        <f t="shared" si="15"/>
        <v>0</v>
      </c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5.75" customHeight="1">
      <c r="A50" s="39" t="s">
        <v>127</v>
      </c>
      <c r="B50" s="68">
        <f>SUM('2025'!$D50:$O50)</f>
        <v>120227.2727</v>
      </c>
      <c r="C50" s="39"/>
      <c r="D50" s="39">
        <v>0.0</v>
      </c>
      <c r="E50" s="39">
        <v>0.0</v>
      </c>
      <c r="F50" s="39">
        <v>0.0</v>
      </c>
      <c r="G50" s="39">
        <v>0.0</v>
      </c>
      <c r="H50" s="42">
        <f t="shared" ref="H50:O50" si="16">H$62/11</f>
        <v>9090.909091</v>
      </c>
      <c r="I50" s="42">
        <f t="shared" si="16"/>
        <v>3409.090909</v>
      </c>
      <c r="J50" s="42">
        <f t="shared" si="16"/>
        <v>34545.45455</v>
      </c>
      <c r="K50" s="42">
        <f t="shared" si="16"/>
        <v>0</v>
      </c>
      <c r="L50" s="42">
        <f t="shared" si="16"/>
        <v>0</v>
      </c>
      <c r="M50" s="42">
        <f t="shared" si="16"/>
        <v>67500</v>
      </c>
      <c r="N50" s="42">
        <f t="shared" si="16"/>
        <v>5681.818182</v>
      </c>
      <c r="O50" s="42">
        <f t="shared" si="16"/>
        <v>0</v>
      </c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5.75" customHeight="1">
      <c r="A51" s="39" t="s">
        <v>128</v>
      </c>
      <c r="B51" s="68">
        <f>SUM('2025'!$D51:$O51)</f>
        <v>120227.2727</v>
      </c>
      <c r="C51" s="39"/>
      <c r="D51" s="39">
        <v>0.0</v>
      </c>
      <c r="E51" s="39">
        <v>0.0</v>
      </c>
      <c r="F51" s="39">
        <v>0.0</v>
      </c>
      <c r="G51" s="39">
        <v>0.0</v>
      </c>
      <c r="H51" s="42">
        <f t="shared" ref="H51:O51" si="17">H$62/11</f>
        <v>9090.909091</v>
      </c>
      <c r="I51" s="42">
        <f t="shared" si="17"/>
        <v>3409.090909</v>
      </c>
      <c r="J51" s="42">
        <f t="shared" si="17"/>
        <v>34545.45455</v>
      </c>
      <c r="K51" s="42">
        <f t="shared" si="17"/>
        <v>0</v>
      </c>
      <c r="L51" s="42">
        <f t="shared" si="17"/>
        <v>0</v>
      </c>
      <c r="M51" s="42">
        <f t="shared" si="17"/>
        <v>67500</v>
      </c>
      <c r="N51" s="42">
        <f t="shared" si="17"/>
        <v>5681.818182</v>
      </c>
      <c r="O51" s="42">
        <f t="shared" si="17"/>
        <v>0</v>
      </c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5.75" customHeight="1">
      <c r="A52" s="39" t="s">
        <v>129</v>
      </c>
      <c r="B52" s="68">
        <f>SUM('2025'!$D52:$O52)</f>
        <v>120227.2727</v>
      </c>
      <c r="C52" s="39"/>
      <c r="D52" s="39">
        <v>0.0</v>
      </c>
      <c r="E52" s="39">
        <v>0.0</v>
      </c>
      <c r="F52" s="39">
        <v>0.0</v>
      </c>
      <c r="G52" s="39">
        <v>0.0</v>
      </c>
      <c r="H52" s="42">
        <f t="shared" ref="H52:O52" si="18">H$62/11</f>
        <v>9090.909091</v>
      </c>
      <c r="I52" s="42">
        <f t="shared" si="18"/>
        <v>3409.090909</v>
      </c>
      <c r="J52" s="42">
        <f t="shared" si="18"/>
        <v>34545.45455</v>
      </c>
      <c r="K52" s="42">
        <f t="shared" si="18"/>
        <v>0</v>
      </c>
      <c r="L52" s="42">
        <f t="shared" si="18"/>
        <v>0</v>
      </c>
      <c r="M52" s="42">
        <f t="shared" si="18"/>
        <v>67500</v>
      </c>
      <c r="N52" s="42">
        <f t="shared" si="18"/>
        <v>5681.818182</v>
      </c>
      <c r="O52" s="42">
        <f t="shared" si="18"/>
        <v>0</v>
      </c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5.75" customHeight="1">
      <c r="A53" s="39" t="s">
        <v>130</v>
      </c>
      <c r="B53" s="68">
        <f>SUM('2025'!$D53:$O53)</f>
        <v>120227.2727</v>
      </c>
      <c r="C53" s="68"/>
      <c r="D53" s="39">
        <v>0.0</v>
      </c>
      <c r="E53" s="39">
        <v>0.0</v>
      </c>
      <c r="F53" s="39">
        <v>0.0</v>
      </c>
      <c r="G53" s="39">
        <v>0.0</v>
      </c>
      <c r="H53" s="42">
        <f t="shared" ref="H53:O53" si="19">H$62/11</f>
        <v>9090.909091</v>
      </c>
      <c r="I53" s="42">
        <f t="shared" si="19"/>
        <v>3409.090909</v>
      </c>
      <c r="J53" s="42">
        <f t="shared" si="19"/>
        <v>34545.45455</v>
      </c>
      <c r="K53" s="42">
        <f t="shared" si="19"/>
        <v>0</v>
      </c>
      <c r="L53" s="42">
        <f t="shared" si="19"/>
        <v>0</v>
      </c>
      <c r="M53" s="42">
        <f t="shared" si="19"/>
        <v>67500</v>
      </c>
      <c r="N53" s="42">
        <f t="shared" si="19"/>
        <v>5681.818182</v>
      </c>
      <c r="O53" s="42">
        <f t="shared" si="19"/>
        <v>0</v>
      </c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5.75" customHeight="1">
      <c r="A54" s="39" t="s">
        <v>131</v>
      </c>
      <c r="B54" s="68">
        <f>SUM('2025'!$D54:$O54)</f>
        <v>120227.2727</v>
      </c>
      <c r="C54" s="39"/>
      <c r="D54" s="39">
        <v>0.0</v>
      </c>
      <c r="E54" s="39">
        <v>0.0</v>
      </c>
      <c r="F54" s="39">
        <v>0.0</v>
      </c>
      <c r="G54" s="39">
        <v>0.0</v>
      </c>
      <c r="H54" s="42">
        <f t="shared" ref="H54:O54" si="20">H$62/11</f>
        <v>9090.909091</v>
      </c>
      <c r="I54" s="42">
        <f t="shared" si="20"/>
        <v>3409.090909</v>
      </c>
      <c r="J54" s="42">
        <f t="shared" si="20"/>
        <v>34545.45455</v>
      </c>
      <c r="K54" s="42">
        <f t="shared" si="20"/>
        <v>0</v>
      </c>
      <c r="L54" s="42">
        <f t="shared" si="20"/>
        <v>0</v>
      </c>
      <c r="M54" s="42">
        <f t="shared" si="20"/>
        <v>67500</v>
      </c>
      <c r="N54" s="42">
        <f t="shared" si="20"/>
        <v>5681.818182</v>
      </c>
      <c r="O54" s="42">
        <f t="shared" si="20"/>
        <v>0</v>
      </c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5.75" customHeight="1">
      <c r="A55" s="39" t="s">
        <v>132</v>
      </c>
      <c r="B55" s="68">
        <f>SUM('2025'!$D55:$O55)</f>
        <v>120227.2727</v>
      </c>
      <c r="C55" s="39"/>
      <c r="D55" s="39">
        <v>0.0</v>
      </c>
      <c r="E55" s="39">
        <v>0.0</v>
      </c>
      <c r="F55" s="39">
        <v>0.0</v>
      </c>
      <c r="G55" s="39">
        <v>0.0</v>
      </c>
      <c r="H55" s="42">
        <f t="shared" ref="H55:O55" si="21">H$62/11</f>
        <v>9090.909091</v>
      </c>
      <c r="I55" s="42">
        <f t="shared" si="21"/>
        <v>3409.090909</v>
      </c>
      <c r="J55" s="42">
        <f t="shared" si="21"/>
        <v>34545.45455</v>
      </c>
      <c r="K55" s="42">
        <f t="shared" si="21"/>
        <v>0</v>
      </c>
      <c r="L55" s="42">
        <f t="shared" si="21"/>
        <v>0</v>
      </c>
      <c r="M55" s="42">
        <f t="shared" si="21"/>
        <v>67500</v>
      </c>
      <c r="N55" s="42">
        <f t="shared" si="21"/>
        <v>5681.818182</v>
      </c>
      <c r="O55" s="42">
        <f t="shared" si="21"/>
        <v>0</v>
      </c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5.75" customHeight="1">
      <c r="A56" s="39" t="s">
        <v>133</v>
      </c>
      <c r="B56" s="68">
        <f>SUM('2025'!$D56:$O56)</f>
        <v>120227.2727</v>
      </c>
      <c r="C56" s="39"/>
      <c r="D56" s="39">
        <v>0.0</v>
      </c>
      <c r="E56" s="39">
        <v>0.0</v>
      </c>
      <c r="F56" s="39">
        <v>0.0</v>
      </c>
      <c r="G56" s="39">
        <v>0.0</v>
      </c>
      <c r="H56" s="42">
        <f t="shared" ref="H56:O56" si="22">H$62/11</f>
        <v>9090.909091</v>
      </c>
      <c r="I56" s="42">
        <f t="shared" si="22"/>
        <v>3409.090909</v>
      </c>
      <c r="J56" s="42">
        <f t="shared" si="22"/>
        <v>34545.45455</v>
      </c>
      <c r="K56" s="42">
        <f t="shared" si="22"/>
        <v>0</v>
      </c>
      <c r="L56" s="42">
        <f t="shared" si="22"/>
        <v>0</v>
      </c>
      <c r="M56" s="42">
        <f t="shared" si="22"/>
        <v>67500</v>
      </c>
      <c r="N56" s="42">
        <f t="shared" si="22"/>
        <v>5681.818182</v>
      </c>
      <c r="O56" s="42">
        <f t="shared" si="22"/>
        <v>0</v>
      </c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5.75" customHeight="1">
      <c r="A57" s="39" t="s">
        <v>134</v>
      </c>
      <c r="B57" s="68">
        <f>SUM('2025'!$D57:$O57)</f>
        <v>120227.2727</v>
      </c>
      <c r="C57" s="39"/>
      <c r="D57" s="39">
        <v>0.0</v>
      </c>
      <c r="E57" s="39">
        <v>0.0</v>
      </c>
      <c r="F57" s="39">
        <v>0.0</v>
      </c>
      <c r="G57" s="39">
        <v>0.0</v>
      </c>
      <c r="H57" s="42">
        <f t="shared" ref="H57:O57" si="23">H$62/11</f>
        <v>9090.909091</v>
      </c>
      <c r="I57" s="42">
        <f t="shared" si="23"/>
        <v>3409.090909</v>
      </c>
      <c r="J57" s="42">
        <f t="shared" si="23"/>
        <v>34545.45455</v>
      </c>
      <c r="K57" s="42">
        <f t="shared" si="23"/>
        <v>0</v>
      </c>
      <c r="L57" s="42">
        <f t="shared" si="23"/>
        <v>0</v>
      </c>
      <c r="M57" s="42">
        <f t="shared" si="23"/>
        <v>67500</v>
      </c>
      <c r="N57" s="42">
        <f t="shared" si="23"/>
        <v>5681.818182</v>
      </c>
      <c r="O57" s="42">
        <f t="shared" si="23"/>
        <v>0</v>
      </c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5.75" customHeight="1">
      <c r="A58" s="39" t="s">
        <v>135</v>
      </c>
      <c r="B58" s="68">
        <f>SUM('2025'!$D58:$O58)</f>
        <v>120227.2727</v>
      </c>
      <c r="C58" s="39"/>
      <c r="D58" s="39">
        <v>0.0</v>
      </c>
      <c r="E58" s="39">
        <v>0.0</v>
      </c>
      <c r="F58" s="39">
        <v>0.0</v>
      </c>
      <c r="G58" s="39">
        <v>0.0</v>
      </c>
      <c r="H58" s="42">
        <f t="shared" ref="H58:O58" si="24">H$62/11</f>
        <v>9090.909091</v>
      </c>
      <c r="I58" s="42">
        <f t="shared" si="24"/>
        <v>3409.090909</v>
      </c>
      <c r="J58" s="42">
        <f t="shared" si="24"/>
        <v>34545.45455</v>
      </c>
      <c r="K58" s="42">
        <f t="shared" si="24"/>
        <v>0</v>
      </c>
      <c r="L58" s="42">
        <f t="shared" si="24"/>
        <v>0</v>
      </c>
      <c r="M58" s="42">
        <f t="shared" si="24"/>
        <v>67500</v>
      </c>
      <c r="N58" s="42">
        <f t="shared" si="24"/>
        <v>5681.818182</v>
      </c>
      <c r="O58" s="42">
        <f t="shared" si="24"/>
        <v>0</v>
      </c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5.75" customHeight="1">
      <c r="A59" s="39" t="s">
        <v>136</v>
      </c>
      <c r="B59" s="68">
        <f>SUM('2025'!$D59:$O59)</f>
        <v>120227.2727</v>
      </c>
      <c r="C59" s="39"/>
      <c r="D59" s="39">
        <v>0.0</v>
      </c>
      <c r="E59" s="39">
        <v>0.0</v>
      </c>
      <c r="F59" s="39">
        <v>0.0</v>
      </c>
      <c r="G59" s="39">
        <v>0.0</v>
      </c>
      <c r="H59" s="42">
        <f t="shared" ref="H59:O59" si="25">H$62/11</f>
        <v>9090.909091</v>
      </c>
      <c r="I59" s="42">
        <f t="shared" si="25"/>
        <v>3409.090909</v>
      </c>
      <c r="J59" s="42">
        <f t="shared" si="25"/>
        <v>34545.45455</v>
      </c>
      <c r="K59" s="42">
        <f t="shared" si="25"/>
        <v>0</v>
      </c>
      <c r="L59" s="42">
        <f t="shared" si="25"/>
        <v>0</v>
      </c>
      <c r="M59" s="42">
        <f t="shared" si="25"/>
        <v>67500</v>
      </c>
      <c r="N59" s="42">
        <f t="shared" si="25"/>
        <v>5681.818182</v>
      </c>
      <c r="O59" s="42">
        <f t="shared" si="25"/>
        <v>0</v>
      </c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5.75" customHeight="1">
      <c r="A60" s="39" t="s">
        <v>7</v>
      </c>
      <c r="B60" s="68">
        <f>SUM('2025'!$D60:$O60)</f>
        <v>7935</v>
      </c>
      <c r="C60" s="39"/>
      <c r="D60" s="39">
        <f t="shared" ref="D60:F60" si="26">SUM(D49:D59)</f>
        <v>0</v>
      </c>
      <c r="E60" s="39">
        <f t="shared" si="26"/>
        <v>0</v>
      </c>
      <c r="F60" s="39">
        <f t="shared" si="26"/>
        <v>0</v>
      </c>
      <c r="G60" s="39">
        <f t="shared" ref="G60:O60" si="27">G$7*0.01</f>
        <v>0</v>
      </c>
      <c r="H60" s="39">
        <f t="shared" si="27"/>
        <v>600</v>
      </c>
      <c r="I60" s="39">
        <f t="shared" si="27"/>
        <v>225</v>
      </c>
      <c r="J60" s="39">
        <f t="shared" si="27"/>
        <v>2280</v>
      </c>
      <c r="K60" s="39">
        <f t="shared" si="27"/>
        <v>0</v>
      </c>
      <c r="L60" s="39">
        <f t="shared" si="27"/>
        <v>0</v>
      </c>
      <c r="M60" s="39">
        <f t="shared" si="27"/>
        <v>4455</v>
      </c>
      <c r="N60" s="39">
        <f t="shared" si="27"/>
        <v>375</v>
      </c>
      <c r="O60" s="39">
        <f t="shared" si="27"/>
        <v>0</v>
      </c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5.75" customHeight="1">
      <c r="A61" s="56"/>
      <c r="B61" s="33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5.75" customHeight="1">
      <c r="A62" s="2" t="s">
        <v>124</v>
      </c>
      <c r="B62" s="26"/>
      <c r="C62" s="26"/>
      <c r="D62" s="26">
        <f t="shared" ref="D62:O62" si="28">D25*0.25</f>
        <v>370000</v>
      </c>
      <c r="E62" s="26">
        <f t="shared" si="28"/>
        <v>307500</v>
      </c>
      <c r="F62" s="26">
        <f t="shared" si="28"/>
        <v>0</v>
      </c>
      <c r="G62" s="26">
        <f t="shared" si="28"/>
        <v>0</v>
      </c>
      <c r="H62" s="26">
        <f t="shared" si="28"/>
        <v>100000</v>
      </c>
      <c r="I62" s="26">
        <f t="shared" si="28"/>
        <v>37500</v>
      </c>
      <c r="J62" s="26">
        <f t="shared" si="28"/>
        <v>380000</v>
      </c>
      <c r="K62" s="26">
        <f t="shared" si="28"/>
        <v>0</v>
      </c>
      <c r="L62" s="26">
        <f t="shared" si="28"/>
        <v>0</v>
      </c>
      <c r="M62" s="26">
        <f t="shared" si="28"/>
        <v>742500</v>
      </c>
      <c r="N62" s="26">
        <f t="shared" si="28"/>
        <v>62500</v>
      </c>
      <c r="O62" s="26">
        <f t="shared" si="28"/>
        <v>0</v>
      </c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5.75" customHeight="1">
      <c r="A63" s="2" t="s">
        <v>125</v>
      </c>
      <c r="B63" s="26"/>
      <c r="C63" s="26"/>
      <c r="D63" s="26">
        <f t="shared" ref="D63:O63" si="29">D62-D60</f>
        <v>370000</v>
      </c>
      <c r="E63" s="26">
        <f t="shared" si="29"/>
        <v>307500</v>
      </c>
      <c r="F63" s="26">
        <f t="shared" si="29"/>
        <v>0</v>
      </c>
      <c r="G63" s="26">
        <f t="shared" si="29"/>
        <v>0</v>
      </c>
      <c r="H63" s="26">
        <f t="shared" si="29"/>
        <v>99400</v>
      </c>
      <c r="I63" s="26">
        <f t="shared" si="29"/>
        <v>37275</v>
      </c>
      <c r="J63" s="26">
        <f t="shared" si="29"/>
        <v>377720</v>
      </c>
      <c r="K63" s="26">
        <f t="shared" si="29"/>
        <v>0</v>
      </c>
      <c r="L63" s="26">
        <f t="shared" si="29"/>
        <v>0</v>
      </c>
      <c r="M63" s="26">
        <f t="shared" si="29"/>
        <v>738045</v>
      </c>
      <c r="N63" s="26">
        <f t="shared" si="29"/>
        <v>62125</v>
      </c>
      <c r="O63" s="26">
        <f t="shared" si="29"/>
        <v>0</v>
      </c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5.75" customHeight="1">
      <c r="A64" s="65"/>
      <c r="B64" s="19"/>
      <c r="C64" s="19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5.75" customHeight="1">
      <c r="A65" s="32" t="s">
        <v>84</v>
      </c>
      <c r="B65" s="19"/>
      <c r="C65" s="19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5.75" customHeight="1">
      <c r="A66" s="76" t="s">
        <v>101</v>
      </c>
      <c r="B66" s="77" t="s">
        <v>7</v>
      </c>
      <c r="C66" s="77" t="s">
        <v>12</v>
      </c>
      <c r="D66" s="77" t="s">
        <v>28</v>
      </c>
      <c r="E66" s="77" t="s">
        <v>29</v>
      </c>
      <c r="F66" s="77" t="s">
        <v>30</v>
      </c>
      <c r="G66" s="77" t="s">
        <v>31</v>
      </c>
      <c r="H66" s="77" t="s">
        <v>34</v>
      </c>
      <c r="I66" s="77" t="s">
        <v>37</v>
      </c>
      <c r="J66" s="77" t="s">
        <v>39</v>
      </c>
      <c r="K66" s="77" t="s">
        <v>41</v>
      </c>
      <c r="L66" s="77" t="s">
        <v>43</v>
      </c>
      <c r="M66" s="77" t="s">
        <v>45</v>
      </c>
      <c r="N66" s="77" t="s">
        <v>46</v>
      </c>
      <c r="O66" s="77" t="s">
        <v>47</v>
      </c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5.75" customHeight="1">
      <c r="A67" s="78" t="s">
        <v>137</v>
      </c>
      <c r="B67" s="79">
        <f>SUM(D67:O67)</f>
        <v>1064500</v>
      </c>
      <c r="C67" s="79"/>
      <c r="D67" s="79">
        <f t="shared" ref="D67:F67" si="30">D25*0.1</f>
        <v>148000</v>
      </c>
      <c r="E67" s="79">
        <f t="shared" si="30"/>
        <v>123000</v>
      </c>
      <c r="F67" s="79">
        <f t="shared" si="30"/>
        <v>0</v>
      </c>
      <c r="G67" s="79">
        <f t="shared" ref="G67:O67" si="31">G25*0.15</f>
        <v>0</v>
      </c>
      <c r="H67" s="79">
        <f t="shared" si="31"/>
        <v>60000</v>
      </c>
      <c r="I67" s="79">
        <f t="shared" si="31"/>
        <v>22500</v>
      </c>
      <c r="J67" s="79">
        <f t="shared" si="31"/>
        <v>228000</v>
      </c>
      <c r="K67" s="79">
        <f t="shared" si="31"/>
        <v>0</v>
      </c>
      <c r="L67" s="79">
        <f t="shared" si="31"/>
        <v>0</v>
      </c>
      <c r="M67" s="79">
        <f t="shared" si="31"/>
        <v>445500</v>
      </c>
      <c r="N67" s="79">
        <f t="shared" si="31"/>
        <v>37500</v>
      </c>
      <c r="O67" s="79">
        <f t="shared" si="31"/>
        <v>0</v>
      </c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5.75" customHeight="1">
      <c r="A68" s="65"/>
      <c r="B68" s="19"/>
      <c r="C68" s="19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5.75" customHeight="1">
      <c r="A69" s="2" t="s">
        <v>124</v>
      </c>
      <c r="B69" s="26"/>
      <c r="C69" s="26"/>
      <c r="D69" s="26">
        <f t="shared" ref="D69:O69" si="32">D25*0.15</f>
        <v>222000</v>
      </c>
      <c r="E69" s="26">
        <f t="shared" si="32"/>
        <v>184500</v>
      </c>
      <c r="F69" s="26">
        <f t="shared" si="32"/>
        <v>0</v>
      </c>
      <c r="G69" s="26">
        <f t="shared" si="32"/>
        <v>0</v>
      </c>
      <c r="H69" s="26">
        <f t="shared" si="32"/>
        <v>60000</v>
      </c>
      <c r="I69" s="26">
        <f t="shared" si="32"/>
        <v>22500</v>
      </c>
      <c r="J69" s="26">
        <f t="shared" si="32"/>
        <v>228000</v>
      </c>
      <c r="K69" s="26">
        <f t="shared" si="32"/>
        <v>0</v>
      </c>
      <c r="L69" s="26">
        <f t="shared" si="32"/>
        <v>0</v>
      </c>
      <c r="M69" s="26">
        <f t="shared" si="32"/>
        <v>445500</v>
      </c>
      <c r="N69" s="26">
        <f t="shared" si="32"/>
        <v>37500</v>
      </c>
      <c r="O69" s="26">
        <f t="shared" si="32"/>
        <v>0</v>
      </c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5.75" customHeight="1">
      <c r="A70" s="2" t="s">
        <v>125</v>
      </c>
      <c r="B70" s="26"/>
      <c r="C70" s="26"/>
      <c r="D70" s="26">
        <f t="shared" ref="D70:O70" si="33">D69-D67</f>
        <v>74000</v>
      </c>
      <c r="E70" s="26">
        <f t="shared" si="33"/>
        <v>61500</v>
      </c>
      <c r="F70" s="26">
        <f t="shared" si="33"/>
        <v>0</v>
      </c>
      <c r="G70" s="26">
        <f t="shared" si="33"/>
        <v>0</v>
      </c>
      <c r="H70" s="26">
        <f t="shared" si="33"/>
        <v>0</v>
      </c>
      <c r="I70" s="26">
        <f t="shared" si="33"/>
        <v>0</v>
      </c>
      <c r="J70" s="26">
        <f t="shared" si="33"/>
        <v>0</v>
      </c>
      <c r="K70" s="26">
        <f t="shared" si="33"/>
        <v>0</v>
      </c>
      <c r="L70" s="26">
        <f t="shared" si="33"/>
        <v>0</v>
      </c>
      <c r="M70" s="26">
        <f t="shared" si="33"/>
        <v>0</v>
      </c>
      <c r="N70" s="26">
        <f t="shared" si="33"/>
        <v>0</v>
      </c>
      <c r="O70" s="26">
        <f t="shared" si="33"/>
        <v>0</v>
      </c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5.75" customHeight="1">
      <c r="A71" s="65"/>
      <c r="B71" s="19"/>
      <c r="C71" s="19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5.75" customHeight="1">
      <c r="A72" s="65"/>
      <c r="B72" s="19"/>
      <c r="C72" s="19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5.75" customHeight="1">
      <c r="A73" s="32" t="s">
        <v>98</v>
      </c>
      <c r="B73" s="19"/>
      <c r="C73" s="19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5.75" customHeight="1">
      <c r="A74" s="61" t="s">
        <v>101</v>
      </c>
      <c r="B74" s="68" t="s">
        <v>7</v>
      </c>
      <c r="C74" s="68" t="s">
        <v>12</v>
      </c>
      <c r="D74" s="68" t="s">
        <v>28</v>
      </c>
      <c r="E74" s="68" t="s">
        <v>29</v>
      </c>
      <c r="F74" s="68" t="s">
        <v>30</v>
      </c>
      <c r="G74" s="68" t="s">
        <v>31</v>
      </c>
      <c r="H74" s="68" t="s">
        <v>34</v>
      </c>
      <c r="I74" s="68" t="s">
        <v>37</v>
      </c>
      <c r="J74" s="68" t="s">
        <v>39</v>
      </c>
      <c r="K74" s="68" t="s">
        <v>41</v>
      </c>
      <c r="L74" s="68" t="s">
        <v>43</v>
      </c>
      <c r="M74" s="68" t="s">
        <v>45</v>
      </c>
      <c r="N74" s="68" t="s">
        <v>46</v>
      </c>
      <c r="O74" s="68" t="s">
        <v>47</v>
      </c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5.75" customHeight="1">
      <c r="A75" s="69" t="s">
        <v>138</v>
      </c>
      <c r="B75" s="68">
        <f t="shared" ref="B75:B78" si="35">SUM(D75:O75)</f>
        <v>400000</v>
      </c>
      <c r="C75" s="68"/>
      <c r="D75" s="68">
        <f t="shared" ref="D75:O75" si="34">D80*0.5</f>
        <v>74000</v>
      </c>
      <c r="E75" s="68">
        <f t="shared" si="34"/>
        <v>61500</v>
      </c>
      <c r="F75" s="68">
        <f t="shared" si="34"/>
        <v>0</v>
      </c>
      <c r="G75" s="68">
        <f t="shared" si="34"/>
        <v>0</v>
      </c>
      <c r="H75" s="68">
        <f t="shared" si="34"/>
        <v>20000</v>
      </c>
      <c r="I75" s="68">
        <f t="shared" si="34"/>
        <v>7500</v>
      </c>
      <c r="J75" s="68">
        <f t="shared" si="34"/>
        <v>76000</v>
      </c>
      <c r="K75" s="68">
        <f t="shared" si="34"/>
        <v>0</v>
      </c>
      <c r="L75" s="68">
        <f t="shared" si="34"/>
        <v>0</v>
      </c>
      <c r="M75" s="68">
        <f t="shared" si="34"/>
        <v>148500</v>
      </c>
      <c r="N75" s="68">
        <f t="shared" si="34"/>
        <v>12500</v>
      </c>
      <c r="O75" s="68">
        <f t="shared" si="34"/>
        <v>0</v>
      </c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5.75" customHeight="1">
      <c r="A76" s="69" t="s">
        <v>139</v>
      </c>
      <c r="B76" s="68">
        <f t="shared" si="35"/>
        <v>240000</v>
      </c>
      <c r="C76" s="68"/>
      <c r="D76" s="68">
        <f t="shared" ref="D76:O76" si="36">D80*0.3</f>
        <v>44400</v>
      </c>
      <c r="E76" s="68">
        <f t="shared" si="36"/>
        <v>36900</v>
      </c>
      <c r="F76" s="68">
        <f t="shared" si="36"/>
        <v>0</v>
      </c>
      <c r="G76" s="68">
        <f t="shared" si="36"/>
        <v>0</v>
      </c>
      <c r="H76" s="68">
        <f t="shared" si="36"/>
        <v>12000</v>
      </c>
      <c r="I76" s="68">
        <f t="shared" si="36"/>
        <v>4500</v>
      </c>
      <c r="J76" s="68">
        <f t="shared" si="36"/>
        <v>45600</v>
      </c>
      <c r="K76" s="68">
        <f t="shared" si="36"/>
        <v>0</v>
      </c>
      <c r="L76" s="68">
        <f t="shared" si="36"/>
        <v>0</v>
      </c>
      <c r="M76" s="68">
        <f t="shared" si="36"/>
        <v>89100</v>
      </c>
      <c r="N76" s="68">
        <f t="shared" si="36"/>
        <v>7500</v>
      </c>
      <c r="O76" s="68">
        <f t="shared" si="36"/>
        <v>0</v>
      </c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5.75" customHeight="1">
      <c r="A77" s="69" t="s">
        <v>140</v>
      </c>
      <c r="B77" s="68">
        <f t="shared" si="35"/>
        <v>160000</v>
      </c>
      <c r="C77" s="68"/>
      <c r="D77" s="68">
        <f t="shared" ref="D77:O77" si="37">D80*0.2</f>
        <v>29600</v>
      </c>
      <c r="E77" s="68">
        <f t="shared" si="37"/>
        <v>24600</v>
      </c>
      <c r="F77" s="68">
        <f t="shared" si="37"/>
        <v>0</v>
      </c>
      <c r="G77" s="68">
        <f t="shared" si="37"/>
        <v>0</v>
      </c>
      <c r="H77" s="68">
        <f t="shared" si="37"/>
        <v>8000</v>
      </c>
      <c r="I77" s="68">
        <f t="shared" si="37"/>
        <v>3000</v>
      </c>
      <c r="J77" s="68">
        <f t="shared" si="37"/>
        <v>30400</v>
      </c>
      <c r="K77" s="68">
        <f t="shared" si="37"/>
        <v>0</v>
      </c>
      <c r="L77" s="68">
        <f t="shared" si="37"/>
        <v>0</v>
      </c>
      <c r="M77" s="68">
        <f t="shared" si="37"/>
        <v>59400</v>
      </c>
      <c r="N77" s="68">
        <f t="shared" si="37"/>
        <v>5000</v>
      </c>
      <c r="O77" s="68">
        <f t="shared" si="37"/>
        <v>0</v>
      </c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5.75" customHeight="1">
      <c r="A78" s="66" t="s">
        <v>141</v>
      </c>
      <c r="B78" s="72">
        <f t="shared" si="35"/>
        <v>800000</v>
      </c>
      <c r="C78" s="80"/>
      <c r="D78" s="72">
        <f t="shared" ref="D78:O78" si="38">SUM(D75:D77)</f>
        <v>148000</v>
      </c>
      <c r="E78" s="72">
        <f t="shared" si="38"/>
        <v>123000</v>
      </c>
      <c r="F78" s="72">
        <f t="shared" si="38"/>
        <v>0</v>
      </c>
      <c r="G78" s="72">
        <f t="shared" si="38"/>
        <v>0</v>
      </c>
      <c r="H78" s="72">
        <f t="shared" si="38"/>
        <v>40000</v>
      </c>
      <c r="I78" s="72">
        <f t="shared" si="38"/>
        <v>15000</v>
      </c>
      <c r="J78" s="72">
        <f t="shared" si="38"/>
        <v>152000</v>
      </c>
      <c r="K78" s="72">
        <f t="shared" si="38"/>
        <v>0</v>
      </c>
      <c r="L78" s="72">
        <f t="shared" si="38"/>
        <v>0</v>
      </c>
      <c r="M78" s="72">
        <f t="shared" si="38"/>
        <v>297000</v>
      </c>
      <c r="N78" s="72">
        <f t="shared" si="38"/>
        <v>25000</v>
      </c>
      <c r="O78" s="72">
        <f t="shared" si="38"/>
        <v>0</v>
      </c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5.75" customHeight="1">
      <c r="A79" s="65"/>
      <c r="B79" s="65"/>
      <c r="C79" s="65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5.75" customHeight="1">
      <c r="A80" s="2" t="s">
        <v>124</v>
      </c>
      <c r="B80" s="26"/>
      <c r="C80" s="26"/>
      <c r="D80" s="26">
        <f t="shared" ref="D80:O80" si="39">D25*0.1</f>
        <v>148000</v>
      </c>
      <c r="E80" s="26">
        <f t="shared" si="39"/>
        <v>123000</v>
      </c>
      <c r="F80" s="26">
        <f t="shared" si="39"/>
        <v>0</v>
      </c>
      <c r="G80" s="26">
        <f t="shared" si="39"/>
        <v>0</v>
      </c>
      <c r="H80" s="26">
        <f t="shared" si="39"/>
        <v>40000</v>
      </c>
      <c r="I80" s="26">
        <f t="shared" si="39"/>
        <v>15000</v>
      </c>
      <c r="J80" s="26">
        <f t="shared" si="39"/>
        <v>152000</v>
      </c>
      <c r="K80" s="26">
        <f t="shared" si="39"/>
        <v>0</v>
      </c>
      <c r="L80" s="26">
        <f t="shared" si="39"/>
        <v>0</v>
      </c>
      <c r="M80" s="26">
        <f t="shared" si="39"/>
        <v>297000</v>
      </c>
      <c r="N80" s="26">
        <f t="shared" si="39"/>
        <v>25000</v>
      </c>
      <c r="O80" s="26">
        <f t="shared" si="39"/>
        <v>0</v>
      </c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5.75" customHeight="1">
      <c r="A81" s="2" t="s">
        <v>125</v>
      </c>
      <c r="B81" s="26"/>
      <c r="C81" s="26"/>
      <c r="D81" s="26">
        <f t="shared" ref="D81:O81" si="40">D80-D78</f>
        <v>0</v>
      </c>
      <c r="E81" s="26">
        <f t="shared" si="40"/>
        <v>0</v>
      </c>
      <c r="F81" s="26">
        <f t="shared" si="40"/>
        <v>0</v>
      </c>
      <c r="G81" s="26">
        <f t="shared" si="40"/>
        <v>0</v>
      </c>
      <c r="H81" s="26">
        <f t="shared" si="40"/>
        <v>0</v>
      </c>
      <c r="I81" s="26">
        <f t="shared" si="40"/>
        <v>0</v>
      </c>
      <c r="J81" s="26">
        <f t="shared" si="40"/>
        <v>0</v>
      </c>
      <c r="K81" s="26">
        <f t="shared" si="40"/>
        <v>0</v>
      </c>
      <c r="L81" s="26">
        <f t="shared" si="40"/>
        <v>0</v>
      </c>
      <c r="M81" s="26">
        <f t="shared" si="40"/>
        <v>0</v>
      </c>
      <c r="N81" s="26">
        <f t="shared" si="40"/>
        <v>0</v>
      </c>
      <c r="O81" s="26">
        <f t="shared" si="40"/>
        <v>0</v>
      </c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5.75" customHeight="1">
      <c r="B82" s="2"/>
      <c r="C82" s="2"/>
    </row>
    <row r="83" ht="15.75" customHeight="1">
      <c r="B83" s="2"/>
      <c r="C83" s="2"/>
    </row>
    <row r="84" ht="15.75" customHeight="1">
      <c r="B84" s="2"/>
      <c r="C84" s="2"/>
    </row>
    <row r="85" ht="15.75" customHeight="1">
      <c r="B85" s="2"/>
      <c r="C85" s="2"/>
    </row>
    <row r="86" ht="15.75" customHeight="1">
      <c r="B86" s="2"/>
      <c r="C86" s="2"/>
    </row>
    <row r="87" ht="15.75" customHeight="1">
      <c r="B87" s="2"/>
      <c r="C87" s="2"/>
    </row>
    <row r="88" ht="15.75" customHeight="1">
      <c r="B88" s="2"/>
      <c r="C88" s="2"/>
    </row>
    <row r="89" ht="15.75" customHeight="1">
      <c r="B89" s="2"/>
      <c r="C89" s="2"/>
    </row>
    <row r="90" ht="15.75" customHeight="1">
      <c r="B90" s="2"/>
      <c r="C90" s="2"/>
    </row>
    <row r="91" ht="15.75" customHeight="1">
      <c r="B91" s="2"/>
      <c r="C91" s="2"/>
    </row>
    <row r="92" ht="15.75" customHeight="1">
      <c r="B92" s="2"/>
      <c r="C92" s="2"/>
    </row>
    <row r="93" ht="15.75" customHeight="1">
      <c r="B93" s="2"/>
      <c r="C93" s="2"/>
    </row>
    <row r="94" ht="15.75" customHeight="1">
      <c r="B94" s="2"/>
      <c r="C94" s="2"/>
    </row>
    <row r="95" ht="15.75" customHeight="1">
      <c r="B95" s="2"/>
      <c r="C95" s="2"/>
    </row>
    <row r="96" ht="15.75" customHeight="1">
      <c r="B96" s="2"/>
      <c r="C96" s="2"/>
    </row>
    <row r="97" ht="15.75" customHeight="1">
      <c r="B97" s="2"/>
      <c r="C97" s="2"/>
    </row>
    <row r="98" ht="15.75" customHeight="1">
      <c r="B98" s="2"/>
      <c r="C98" s="2"/>
    </row>
    <row r="99" ht="15.75" customHeight="1">
      <c r="B99" s="2"/>
      <c r="C99" s="2"/>
    </row>
    <row r="100" ht="15.75" customHeight="1">
      <c r="B100" s="2"/>
      <c r="C100" s="2"/>
    </row>
    <row r="101" ht="15.75" customHeight="1">
      <c r="B101" s="2"/>
      <c r="C101" s="2"/>
    </row>
    <row r="102" ht="15.75" customHeight="1">
      <c r="B102" s="2"/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  <c r="C141" s="2"/>
    </row>
    <row r="142" ht="15.75" customHeight="1">
      <c r="B142" s="2"/>
      <c r="C142" s="2"/>
    </row>
    <row r="143" ht="15.75" customHeight="1">
      <c r="B143" s="2"/>
      <c r="C143" s="2"/>
    </row>
    <row r="144" ht="15.75" customHeight="1">
      <c r="B144" s="2"/>
      <c r="C144" s="2"/>
    </row>
    <row r="145" ht="15.75" customHeight="1">
      <c r="B145" s="2"/>
      <c r="C145" s="2"/>
    </row>
    <row r="146" ht="15.75" customHeight="1">
      <c r="B146" s="2"/>
      <c r="C146" s="2"/>
    </row>
    <row r="147" ht="15.75" customHeight="1">
      <c r="B147" s="2"/>
      <c r="C147" s="2"/>
    </row>
    <row r="148" ht="15.75" customHeight="1">
      <c r="B148" s="2"/>
      <c r="C148" s="2"/>
    </row>
    <row r="149" ht="15.75" customHeight="1">
      <c r="B149" s="2"/>
      <c r="C149" s="2"/>
    </row>
    <row r="150" ht="15.75" customHeight="1">
      <c r="B150" s="2"/>
      <c r="C150" s="2"/>
    </row>
    <row r="151" ht="15.75" customHeight="1">
      <c r="B151" s="2"/>
      <c r="C151" s="2"/>
    </row>
    <row r="152" ht="15.75" customHeight="1">
      <c r="B152" s="2"/>
      <c r="C152" s="2"/>
    </row>
    <row r="153" ht="15.75" customHeight="1">
      <c r="B153" s="2"/>
      <c r="C153" s="2"/>
    </row>
    <row r="154" ht="15.75" customHeight="1">
      <c r="B154" s="2"/>
      <c r="C154" s="2"/>
    </row>
    <row r="155" ht="15.75" customHeight="1">
      <c r="B155" s="2"/>
      <c r="C155" s="2"/>
    </row>
    <row r="156" ht="15.75" customHeight="1">
      <c r="B156" s="2"/>
      <c r="C156" s="2"/>
    </row>
    <row r="157" ht="15.75" customHeight="1">
      <c r="B157" s="2"/>
      <c r="C157" s="2"/>
    </row>
    <row r="158" ht="15.75" customHeight="1">
      <c r="B158" s="2"/>
      <c r="C158" s="2"/>
    </row>
    <row r="159" ht="15.75" customHeight="1">
      <c r="B159" s="2"/>
      <c r="C159" s="2"/>
    </row>
    <row r="160" ht="15.75" customHeight="1">
      <c r="B160" s="2"/>
      <c r="C160" s="2"/>
    </row>
    <row r="161" ht="15.75" customHeight="1">
      <c r="B161" s="2"/>
      <c r="C161" s="2"/>
    </row>
    <row r="162" ht="15.75" customHeight="1">
      <c r="B162" s="2"/>
      <c r="C162" s="2"/>
    </row>
    <row r="163" ht="15.75" customHeight="1">
      <c r="B163" s="2"/>
      <c r="C163" s="2"/>
    </row>
    <row r="164" ht="15.75" customHeight="1">
      <c r="B164" s="2"/>
      <c r="C164" s="2"/>
    </row>
    <row r="165" ht="15.75" customHeight="1">
      <c r="B165" s="2"/>
      <c r="C165" s="2"/>
    </row>
    <row r="166" ht="15.75" customHeight="1">
      <c r="B166" s="2"/>
      <c r="C166" s="2"/>
    </row>
    <row r="167" ht="15.75" customHeight="1">
      <c r="B167" s="2"/>
      <c r="C167" s="2"/>
    </row>
    <row r="168" ht="15.75" customHeight="1">
      <c r="B168" s="2"/>
      <c r="C168" s="2"/>
    </row>
    <row r="169" ht="15.75" customHeight="1">
      <c r="B169" s="2"/>
      <c r="C169" s="2"/>
    </row>
    <row r="170" ht="15.75" customHeight="1">
      <c r="B170" s="2"/>
      <c r="C170" s="2"/>
    </row>
    <row r="171" ht="15.75" customHeight="1">
      <c r="B171" s="2"/>
      <c r="C171" s="2"/>
    </row>
    <row r="172" ht="15.75" customHeight="1">
      <c r="B172" s="2"/>
      <c r="C172" s="2"/>
    </row>
    <row r="173" ht="15.75" customHeight="1">
      <c r="B173" s="2"/>
      <c r="C173" s="2"/>
    </row>
    <row r="174" ht="15.75" customHeight="1">
      <c r="B174" s="2"/>
      <c r="C174" s="2"/>
    </row>
    <row r="175" ht="15.75" customHeight="1">
      <c r="B175" s="2"/>
      <c r="C175" s="2"/>
    </row>
    <row r="176" ht="15.75" customHeight="1">
      <c r="B176" s="2"/>
      <c r="C176" s="2"/>
    </row>
    <row r="177" ht="15.75" customHeight="1">
      <c r="B177" s="2"/>
      <c r="C177" s="2"/>
    </row>
    <row r="178" ht="15.75" customHeight="1">
      <c r="B178" s="2"/>
      <c r="C178" s="2"/>
    </row>
    <row r="179" ht="15.75" customHeight="1">
      <c r="B179" s="2"/>
      <c r="C179" s="2"/>
    </row>
    <row r="180" ht="15.75" customHeight="1">
      <c r="B180" s="2"/>
      <c r="C180" s="2"/>
    </row>
    <row r="181" ht="15.75" customHeight="1">
      <c r="B181" s="2"/>
      <c r="C181" s="2"/>
    </row>
    <row r="182" ht="15.75" customHeight="1">
      <c r="B182" s="2"/>
      <c r="C182" s="2"/>
    </row>
    <row r="183" ht="15.75" customHeight="1">
      <c r="B183" s="2"/>
      <c r="C183" s="2"/>
    </row>
    <row r="184" ht="15.75" customHeight="1">
      <c r="B184" s="2"/>
      <c r="C184" s="2"/>
    </row>
    <row r="185" ht="15.75" customHeight="1">
      <c r="B185" s="2"/>
      <c r="C185" s="2"/>
    </row>
    <row r="186" ht="15.75" customHeight="1">
      <c r="B186" s="2"/>
      <c r="C186" s="2"/>
    </row>
    <row r="187" ht="15.75" customHeight="1">
      <c r="B187" s="2"/>
      <c r="C187" s="2"/>
    </row>
    <row r="188" ht="15.75" customHeight="1">
      <c r="B188" s="2"/>
      <c r="C188" s="2"/>
    </row>
    <row r="189" ht="15.75" customHeight="1">
      <c r="B189" s="2"/>
      <c r="C189" s="2"/>
    </row>
    <row r="190" ht="15.75" customHeight="1">
      <c r="B190" s="2"/>
      <c r="C190" s="2"/>
    </row>
    <row r="191" ht="15.75" customHeight="1">
      <c r="B191" s="2"/>
      <c r="C191" s="2"/>
    </row>
    <row r="192" ht="15.75" customHeight="1">
      <c r="B192" s="2"/>
      <c r="C192" s="2"/>
    </row>
    <row r="193" ht="15.75" customHeight="1">
      <c r="B193" s="2"/>
      <c r="C193" s="2"/>
    </row>
    <row r="194" ht="15.75" customHeight="1">
      <c r="B194" s="2"/>
      <c r="C194" s="2"/>
    </row>
    <row r="195" ht="15.75" customHeight="1">
      <c r="B195" s="2"/>
      <c r="C195" s="2"/>
    </row>
    <row r="196" ht="15.75" customHeight="1">
      <c r="B196" s="2"/>
      <c r="C196" s="2"/>
    </row>
    <row r="197" ht="15.75" customHeight="1">
      <c r="B197" s="2"/>
      <c r="C197" s="2"/>
    </row>
    <row r="198" ht="15.75" customHeight="1">
      <c r="B198" s="2"/>
      <c r="C198" s="2"/>
    </row>
    <row r="199" ht="15.75" customHeight="1">
      <c r="B199" s="2"/>
      <c r="C199" s="2"/>
    </row>
    <row r="200" ht="15.75" customHeight="1">
      <c r="B200" s="2"/>
      <c r="C200" s="2"/>
    </row>
    <row r="201" ht="15.75" customHeight="1">
      <c r="B201" s="2"/>
      <c r="C201" s="2"/>
    </row>
    <row r="202" ht="15.75" customHeight="1">
      <c r="B202" s="2"/>
      <c r="C202" s="2"/>
    </row>
    <row r="203" ht="15.75" customHeight="1">
      <c r="B203" s="2"/>
      <c r="C203" s="2"/>
    </row>
    <row r="204" ht="15.75" customHeight="1">
      <c r="B204" s="2"/>
      <c r="C204" s="2"/>
    </row>
    <row r="205" ht="15.75" customHeight="1">
      <c r="B205" s="2"/>
      <c r="C205" s="2"/>
    </row>
    <row r="206" ht="15.75" customHeight="1">
      <c r="B206" s="2"/>
      <c r="C206" s="2"/>
    </row>
    <row r="207" ht="15.75" customHeight="1">
      <c r="B207" s="2"/>
      <c r="C207" s="2"/>
    </row>
    <row r="208" ht="15.75" customHeight="1">
      <c r="B208" s="2"/>
      <c r="C208" s="2"/>
    </row>
    <row r="209" ht="15.75" customHeight="1">
      <c r="B209" s="2"/>
      <c r="C209" s="2"/>
    </row>
    <row r="210" ht="15.75" customHeight="1">
      <c r="B210" s="2"/>
      <c r="C210" s="2"/>
    </row>
    <row r="211" ht="15.75" customHeight="1">
      <c r="B211" s="2"/>
      <c r="C211" s="2"/>
    </row>
    <row r="212" ht="15.75" customHeight="1">
      <c r="B212" s="2"/>
      <c r="C212" s="2"/>
    </row>
    <row r="213" ht="15.75" customHeight="1">
      <c r="B213" s="2"/>
      <c r="C213" s="2"/>
    </row>
    <row r="214" ht="15.75" customHeight="1">
      <c r="B214" s="2"/>
      <c r="C214" s="2"/>
    </row>
    <row r="215" ht="15.75" customHeight="1">
      <c r="B215" s="2"/>
      <c r="C215" s="2"/>
    </row>
    <row r="216" ht="15.75" customHeight="1">
      <c r="B216" s="2"/>
      <c r="C216" s="2"/>
    </row>
    <row r="217" ht="15.75" customHeight="1">
      <c r="B217" s="2"/>
      <c r="C217" s="2"/>
    </row>
    <row r="218" ht="15.75" customHeight="1">
      <c r="B218" s="2"/>
      <c r="C218" s="2"/>
    </row>
    <row r="219" ht="15.75" customHeight="1">
      <c r="B219" s="2"/>
      <c r="C219" s="2"/>
    </row>
    <row r="220" ht="15.75" customHeight="1">
      <c r="B220" s="2"/>
      <c r="C220" s="2"/>
    </row>
    <row r="221" ht="15.75" customHeight="1">
      <c r="B221" s="2"/>
      <c r="C221" s="2"/>
    </row>
    <row r="222" ht="15.75" customHeight="1">
      <c r="B222" s="2"/>
      <c r="C222" s="2"/>
    </row>
    <row r="223" ht="15.75" customHeight="1">
      <c r="B223" s="2"/>
      <c r="C223" s="2"/>
    </row>
    <row r="224" ht="15.75" customHeight="1">
      <c r="B224" s="2"/>
      <c r="C224" s="2"/>
    </row>
    <row r="225" ht="15.75" customHeight="1">
      <c r="B225" s="2"/>
      <c r="C225" s="2"/>
    </row>
    <row r="226" ht="15.75" customHeight="1">
      <c r="B226" s="2"/>
      <c r="C226" s="2"/>
    </row>
    <row r="227" ht="15.75" customHeight="1">
      <c r="B227" s="2"/>
      <c r="C227" s="2"/>
    </row>
    <row r="228" ht="15.75" customHeight="1">
      <c r="B228" s="2"/>
      <c r="C228" s="2"/>
    </row>
    <row r="229" ht="15.75" customHeight="1">
      <c r="B229" s="2"/>
      <c r="C229" s="2"/>
    </row>
    <row r="230" ht="15.75" customHeight="1">
      <c r="B230" s="2"/>
      <c r="C230" s="2"/>
    </row>
    <row r="231" ht="15.75" customHeight="1">
      <c r="B231" s="2"/>
      <c r="C231" s="2"/>
    </row>
    <row r="232" ht="15.75" customHeight="1">
      <c r="B232" s="2"/>
      <c r="C232" s="2"/>
    </row>
    <row r="233" ht="15.75" customHeight="1">
      <c r="B233" s="2"/>
      <c r="C233" s="2"/>
    </row>
    <row r="234" ht="15.75" customHeight="1">
      <c r="B234" s="2"/>
      <c r="C234" s="2"/>
    </row>
    <row r="235" ht="15.75" customHeight="1">
      <c r="B235" s="2"/>
      <c r="C235" s="2"/>
    </row>
    <row r="236" ht="15.75" customHeight="1">
      <c r="B236" s="2"/>
      <c r="C236" s="2"/>
    </row>
    <row r="237" ht="15.75" customHeight="1">
      <c r="B237" s="2"/>
      <c r="C237" s="2"/>
    </row>
    <row r="238" ht="15.75" customHeight="1">
      <c r="B238" s="2"/>
      <c r="C238" s="2"/>
    </row>
    <row r="239" ht="15.75" customHeight="1">
      <c r="B239" s="2"/>
      <c r="C239" s="2"/>
    </row>
    <row r="240" ht="15.75" customHeight="1">
      <c r="B240" s="2"/>
      <c r="C240" s="2"/>
    </row>
    <row r="241" ht="15.75" customHeight="1">
      <c r="B241" s="2"/>
      <c r="C241" s="2"/>
    </row>
    <row r="242" ht="15.75" customHeight="1">
      <c r="B242" s="2"/>
      <c r="C242" s="2"/>
    </row>
    <row r="243" ht="15.75" customHeight="1">
      <c r="B243" s="2"/>
      <c r="C243" s="2"/>
    </row>
    <row r="244" ht="15.75" customHeight="1">
      <c r="B244" s="2"/>
      <c r="C244" s="2"/>
    </row>
    <row r="245" ht="15.75" customHeight="1">
      <c r="B245" s="2"/>
      <c r="C245" s="2"/>
    </row>
    <row r="246" ht="15.75" customHeight="1">
      <c r="B246" s="2"/>
      <c r="C246" s="2"/>
    </row>
    <row r="247" ht="15.75" customHeight="1">
      <c r="B247" s="2"/>
      <c r="C247" s="2"/>
    </row>
    <row r="248" ht="15.75" customHeight="1">
      <c r="B248" s="2"/>
      <c r="C248" s="2"/>
    </row>
    <row r="249" ht="15.75" customHeight="1">
      <c r="B249" s="2"/>
      <c r="C249" s="2"/>
    </row>
    <row r="250" ht="15.75" customHeight="1">
      <c r="B250" s="2"/>
      <c r="C250" s="2"/>
    </row>
    <row r="251" ht="15.75" customHeight="1">
      <c r="B251" s="2"/>
      <c r="C251" s="2"/>
    </row>
    <row r="252" ht="15.75" customHeight="1">
      <c r="B252" s="2"/>
      <c r="C252" s="2"/>
    </row>
    <row r="253" ht="15.75" customHeight="1">
      <c r="B253" s="2"/>
      <c r="C253" s="2"/>
    </row>
    <row r="254" ht="15.75" customHeight="1">
      <c r="B254" s="2"/>
      <c r="C254" s="2"/>
    </row>
    <row r="255" ht="15.75" customHeight="1">
      <c r="B255" s="2"/>
      <c r="C255" s="2"/>
    </row>
    <row r="256" ht="15.75" customHeight="1">
      <c r="B256" s="2"/>
      <c r="C256" s="2"/>
    </row>
    <row r="257" ht="15.75" customHeight="1">
      <c r="B257" s="2"/>
      <c r="C257" s="2"/>
    </row>
    <row r="258" ht="15.75" customHeight="1">
      <c r="B258" s="2"/>
      <c r="C258" s="2"/>
    </row>
    <row r="259" ht="15.75" customHeight="1">
      <c r="B259" s="2"/>
      <c r="C259" s="2"/>
    </row>
    <row r="260" ht="15.75" customHeight="1">
      <c r="B260" s="2"/>
      <c r="C260" s="2"/>
    </row>
    <row r="261" ht="15.75" customHeight="1">
      <c r="B261" s="2"/>
      <c r="C261" s="2"/>
    </row>
    <row r="262" ht="15.75" customHeight="1">
      <c r="B262" s="2"/>
      <c r="C262" s="2"/>
    </row>
    <row r="263" ht="15.75" customHeight="1">
      <c r="B263" s="2"/>
      <c r="C263" s="2"/>
    </row>
    <row r="264" ht="15.75" customHeight="1">
      <c r="B264" s="2"/>
      <c r="C264" s="2"/>
    </row>
    <row r="265" ht="15.75" customHeight="1">
      <c r="B265" s="2"/>
      <c r="C265" s="2"/>
    </row>
    <row r="266" ht="15.75" customHeight="1">
      <c r="B266" s="2"/>
      <c r="C266" s="2"/>
    </row>
    <row r="267" ht="15.75" customHeight="1">
      <c r="B267" s="2"/>
      <c r="C267" s="2"/>
    </row>
    <row r="268" ht="15.75" customHeight="1">
      <c r="B268" s="2"/>
      <c r="C268" s="2"/>
    </row>
    <row r="269" ht="15.75" customHeight="1">
      <c r="B269" s="2"/>
      <c r="C269" s="2"/>
    </row>
    <row r="270" ht="15.75" customHeight="1">
      <c r="B270" s="2"/>
      <c r="C270" s="2"/>
    </row>
    <row r="271" ht="15.75" customHeight="1">
      <c r="B271" s="2"/>
      <c r="C271" s="2"/>
    </row>
    <row r="272" ht="15.75" customHeight="1">
      <c r="B272" s="2"/>
      <c r="C272" s="2"/>
    </row>
    <row r="273" ht="15.75" customHeight="1">
      <c r="B273" s="2"/>
      <c r="C273" s="2"/>
    </row>
    <row r="274" ht="15.75" customHeight="1">
      <c r="B274" s="2"/>
      <c r="C274" s="2"/>
    </row>
    <row r="275" ht="15.75" customHeight="1">
      <c r="B275" s="2"/>
      <c r="C275" s="2"/>
    </row>
    <row r="276" ht="15.75" customHeight="1">
      <c r="B276" s="2"/>
      <c r="C276" s="2"/>
    </row>
    <row r="277" ht="15.75" customHeight="1">
      <c r="B277" s="2"/>
      <c r="C277" s="2"/>
    </row>
    <row r="278" ht="15.75" customHeight="1">
      <c r="B278" s="2"/>
      <c r="C278" s="2"/>
    </row>
    <row r="279" ht="15.75" customHeight="1">
      <c r="B279" s="2"/>
      <c r="C279" s="2"/>
    </row>
    <row r="280" ht="15.75" customHeight="1">
      <c r="B280" s="2"/>
      <c r="C280" s="2"/>
    </row>
    <row r="281" ht="15.75" customHeight="1">
      <c r="B281" s="2"/>
      <c r="C281" s="2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paperSize="9" orientation="portrait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9" width="14.29"/>
    <col customWidth="1" min="10" max="15" width="12.86"/>
    <col customWidth="1" min="16" max="26" width="8.43"/>
  </cols>
  <sheetData>
    <row r="1">
      <c r="A1" s="2" t="s">
        <v>1</v>
      </c>
      <c r="B1" s="5" t="s">
        <v>7</v>
      </c>
      <c r="C1" s="7" t="s">
        <v>12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34</v>
      </c>
      <c r="I1" s="6" t="s">
        <v>37</v>
      </c>
      <c r="J1" s="6" t="s">
        <v>39</v>
      </c>
      <c r="K1" s="6" t="s">
        <v>41</v>
      </c>
      <c r="L1" s="6" t="s">
        <v>43</v>
      </c>
      <c r="M1" s="6" t="s">
        <v>45</v>
      </c>
      <c r="N1" s="6" t="s">
        <v>46</v>
      </c>
      <c r="O1" s="6" t="s">
        <v>47</v>
      </c>
    </row>
    <row r="2">
      <c r="A2" s="2" t="s">
        <v>48</v>
      </c>
      <c r="B2" s="16">
        <f t="shared" ref="B2:B4" si="1">SUM(C2:O2)</f>
        <v>23266735</v>
      </c>
      <c r="C2" s="18">
        <f>'2023'!B2</f>
        <v>14963735</v>
      </c>
      <c r="D2" s="20">
        <v>0.0</v>
      </c>
      <c r="E2" s="20">
        <v>0.0</v>
      </c>
      <c r="F2" s="20">
        <v>0.0</v>
      </c>
      <c r="G2" s="20">
        <v>288000.0</v>
      </c>
      <c r="H2" s="20">
        <v>0.0</v>
      </c>
      <c r="I2" s="20">
        <v>0.0</v>
      </c>
      <c r="J2" s="20">
        <v>2435000.0</v>
      </c>
      <c r="K2" s="20">
        <v>2300000.0</v>
      </c>
      <c r="L2" s="20">
        <v>1120000.0</v>
      </c>
      <c r="M2" s="20">
        <v>1290000.0</v>
      </c>
      <c r="N2" s="20">
        <v>360000.0</v>
      </c>
      <c r="O2" s="20">
        <v>510000.0</v>
      </c>
    </row>
    <row r="3">
      <c r="A3" s="22" t="s">
        <v>57</v>
      </c>
      <c r="B3" s="16">
        <f t="shared" si="1"/>
        <v>4991983</v>
      </c>
      <c r="C3" s="18">
        <f t="shared" ref="C3:L3" si="2">C27</f>
        <v>0</v>
      </c>
      <c r="D3" s="23">
        <f t="shared" si="2"/>
        <v>0</v>
      </c>
      <c r="E3" s="23">
        <f t="shared" si="2"/>
        <v>214665</v>
      </c>
      <c r="F3" s="23">
        <f t="shared" si="2"/>
        <v>0</v>
      </c>
      <c r="G3" s="23">
        <f t="shared" si="2"/>
        <v>137052</v>
      </c>
      <c r="H3" s="23">
        <f t="shared" si="2"/>
        <v>673680</v>
      </c>
      <c r="I3" s="23">
        <f t="shared" si="2"/>
        <v>153999</v>
      </c>
      <c r="J3" s="23">
        <f t="shared" si="2"/>
        <v>220000</v>
      </c>
      <c r="K3" s="23">
        <f t="shared" si="2"/>
        <v>1473732</v>
      </c>
      <c r="L3" s="23">
        <f t="shared" si="2"/>
        <v>285280</v>
      </c>
      <c r="M3" s="23">
        <f>285280+1584</f>
        <v>286864</v>
      </c>
      <c r="N3" s="23">
        <f>754419</f>
        <v>754419</v>
      </c>
      <c r="O3" s="23">
        <f>O27</f>
        <v>792292</v>
      </c>
    </row>
    <row r="4">
      <c r="A4" s="2" t="s">
        <v>60</v>
      </c>
      <c r="B4" s="16">
        <f t="shared" si="1"/>
        <v>18274752</v>
      </c>
      <c r="C4" s="18">
        <f>'2023'!B4</f>
        <v>14963735</v>
      </c>
      <c r="D4" s="26">
        <f t="shared" ref="D4:O4" si="3">D2-D3</f>
        <v>0</v>
      </c>
      <c r="E4" s="26">
        <f t="shared" si="3"/>
        <v>-214665</v>
      </c>
      <c r="F4" s="26">
        <f t="shared" si="3"/>
        <v>0</v>
      </c>
      <c r="G4" s="26">
        <f t="shared" si="3"/>
        <v>150948</v>
      </c>
      <c r="H4" s="26">
        <f t="shared" si="3"/>
        <v>-673680</v>
      </c>
      <c r="I4" s="26">
        <f t="shared" si="3"/>
        <v>-153999</v>
      </c>
      <c r="J4" s="26">
        <f t="shared" si="3"/>
        <v>2215000</v>
      </c>
      <c r="K4" s="26">
        <f t="shared" si="3"/>
        <v>826268</v>
      </c>
      <c r="L4" s="26">
        <f t="shared" si="3"/>
        <v>834720</v>
      </c>
      <c r="M4" s="26">
        <f t="shared" si="3"/>
        <v>1003136</v>
      </c>
      <c r="N4" s="26">
        <f t="shared" si="3"/>
        <v>-394419</v>
      </c>
      <c r="O4" s="26">
        <f t="shared" si="3"/>
        <v>-282292</v>
      </c>
    </row>
    <row r="5">
      <c r="B5" s="16"/>
      <c r="C5" s="18"/>
    </row>
    <row r="6">
      <c r="A6" s="2" t="s">
        <v>67</v>
      </c>
      <c r="B6" s="27">
        <v>0.1</v>
      </c>
      <c r="C6" s="28">
        <v>0.1</v>
      </c>
      <c r="D6" s="29">
        <v>0.1</v>
      </c>
      <c r="E6" s="29">
        <v>0.1</v>
      </c>
      <c r="F6" s="29">
        <v>0.1</v>
      </c>
      <c r="G6" s="29">
        <v>0.1</v>
      </c>
      <c r="H6" s="29">
        <v>0.1</v>
      </c>
      <c r="I6" s="29">
        <v>0.1</v>
      </c>
      <c r="J6" s="29">
        <v>0.1</v>
      </c>
      <c r="K6" s="29">
        <v>0.1</v>
      </c>
      <c r="L6" s="29">
        <v>0.1</v>
      </c>
      <c r="M6" s="29">
        <v>0.1</v>
      </c>
      <c r="N6" s="29">
        <v>0.1</v>
      </c>
      <c r="O6" s="29">
        <v>0.1</v>
      </c>
    </row>
    <row r="7">
      <c r="A7" s="2" t="s">
        <v>70</v>
      </c>
      <c r="B7" s="16">
        <f t="shared" ref="B7:B8" si="5">SUM(C7:O7)</f>
        <v>2115157.727</v>
      </c>
      <c r="C7" s="18">
        <f>'2023'!B7</f>
        <v>1360339.545</v>
      </c>
      <c r="D7" s="33">
        <f t="shared" ref="D7:O7" si="4">D2/11</f>
        <v>0</v>
      </c>
      <c r="E7" s="33">
        <f t="shared" si="4"/>
        <v>0</v>
      </c>
      <c r="F7" s="33">
        <f t="shared" si="4"/>
        <v>0</v>
      </c>
      <c r="G7" s="33">
        <f t="shared" si="4"/>
        <v>26181.81818</v>
      </c>
      <c r="H7" s="33">
        <f t="shared" si="4"/>
        <v>0</v>
      </c>
      <c r="I7" s="33">
        <f t="shared" si="4"/>
        <v>0</v>
      </c>
      <c r="J7" s="33">
        <f t="shared" si="4"/>
        <v>221363.6364</v>
      </c>
      <c r="K7" s="33">
        <f t="shared" si="4"/>
        <v>209090.9091</v>
      </c>
      <c r="L7" s="33">
        <f t="shared" si="4"/>
        <v>101818.1818</v>
      </c>
      <c r="M7" s="33">
        <f t="shared" si="4"/>
        <v>117272.7273</v>
      </c>
      <c r="N7" s="33">
        <f t="shared" si="4"/>
        <v>32727.27273</v>
      </c>
      <c r="O7" s="33">
        <f t="shared" si="4"/>
        <v>46363.63636</v>
      </c>
    </row>
    <row r="8">
      <c r="A8" s="2" t="s">
        <v>75</v>
      </c>
      <c r="B8" s="16">
        <f t="shared" si="5"/>
        <v>2240000</v>
      </c>
      <c r="C8" s="18">
        <f>'2023'!B8</f>
        <v>1450000</v>
      </c>
      <c r="D8" s="26">
        <f t="shared" ref="D8:O8" si="6">_xlfn.CEILING.MATH(D7, 10000)</f>
        <v>0</v>
      </c>
      <c r="E8" s="26">
        <f t="shared" si="6"/>
        <v>0</v>
      </c>
      <c r="F8" s="26">
        <f t="shared" si="6"/>
        <v>0</v>
      </c>
      <c r="G8" s="26">
        <f t="shared" si="6"/>
        <v>30000</v>
      </c>
      <c r="H8" s="26">
        <f t="shared" si="6"/>
        <v>0</v>
      </c>
      <c r="I8" s="26">
        <f t="shared" si="6"/>
        <v>0</v>
      </c>
      <c r="J8" s="26">
        <f t="shared" si="6"/>
        <v>230000</v>
      </c>
      <c r="K8" s="26">
        <f t="shared" si="6"/>
        <v>210000</v>
      </c>
      <c r="L8" s="26">
        <f t="shared" si="6"/>
        <v>110000</v>
      </c>
      <c r="M8" s="26">
        <f t="shared" si="6"/>
        <v>120000</v>
      </c>
      <c r="N8" s="26">
        <f t="shared" si="6"/>
        <v>40000</v>
      </c>
      <c r="O8" s="26">
        <f t="shared" si="6"/>
        <v>50000</v>
      </c>
    </row>
    <row r="9">
      <c r="A9" s="2"/>
      <c r="B9" s="16"/>
      <c r="C9" s="18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>
      <c r="A10" s="2" t="s">
        <v>79</v>
      </c>
      <c r="B10" s="16">
        <f>SUM(C10:O10)</f>
        <v>16034752</v>
      </c>
      <c r="C10" s="18">
        <f>'2023'!B11</f>
        <v>13513735</v>
      </c>
      <c r="D10" s="26">
        <f t="shared" ref="D10:O10" si="7">D4-D8</f>
        <v>0</v>
      </c>
      <c r="E10" s="26">
        <f t="shared" si="7"/>
        <v>-214665</v>
      </c>
      <c r="F10" s="26">
        <f t="shared" si="7"/>
        <v>0</v>
      </c>
      <c r="G10" s="26">
        <f t="shared" si="7"/>
        <v>120948</v>
      </c>
      <c r="H10" s="26">
        <f t="shared" si="7"/>
        <v>-673680</v>
      </c>
      <c r="I10" s="26">
        <f t="shared" si="7"/>
        <v>-153999</v>
      </c>
      <c r="J10" s="26">
        <f t="shared" si="7"/>
        <v>1985000</v>
      </c>
      <c r="K10" s="26">
        <f t="shared" si="7"/>
        <v>616268</v>
      </c>
      <c r="L10" s="26">
        <f t="shared" si="7"/>
        <v>724720</v>
      </c>
      <c r="M10" s="26">
        <f t="shared" si="7"/>
        <v>883136</v>
      </c>
      <c r="N10" s="26">
        <f t="shared" si="7"/>
        <v>-434419</v>
      </c>
      <c r="O10" s="26">
        <f t="shared" si="7"/>
        <v>-332292</v>
      </c>
    </row>
    <row r="11">
      <c r="A11" s="2"/>
      <c r="B11" s="16"/>
      <c r="C11" s="18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</row>
    <row r="12">
      <c r="A12" s="43" t="s">
        <v>81</v>
      </c>
      <c r="B12" s="16">
        <f>SUM(C12:O12)</f>
        <v>7500047.06</v>
      </c>
      <c r="C12" s="18">
        <f>'2023'!B24</f>
        <v>6163908.05</v>
      </c>
      <c r="D12" s="45">
        <f t="shared" ref="D12:O12" si="8">D41</f>
        <v>0</v>
      </c>
      <c r="E12" s="45">
        <f t="shared" si="8"/>
        <v>-113772.45</v>
      </c>
      <c r="F12" s="45">
        <f t="shared" si="8"/>
        <v>0</v>
      </c>
      <c r="G12" s="45">
        <f t="shared" si="8"/>
        <v>64102.44</v>
      </c>
      <c r="H12" s="45">
        <f t="shared" si="8"/>
        <v>-357050.4</v>
      </c>
      <c r="I12" s="45">
        <f t="shared" si="8"/>
        <v>-81619.47</v>
      </c>
      <c r="J12" s="45">
        <f t="shared" si="8"/>
        <v>1052050</v>
      </c>
      <c r="K12" s="45">
        <f t="shared" si="8"/>
        <v>326622.04</v>
      </c>
      <c r="L12" s="45">
        <f t="shared" si="8"/>
        <v>384101.6</v>
      </c>
      <c r="M12" s="45">
        <f t="shared" si="8"/>
        <v>468062.08</v>
      </c>
      <c r="N12" s="45">
        <f t="shared" si="8"/>
        <v>-230242.07</v>
      </c>
      <c r="O12" s="45">
        <f t="shared" si="8"/>
        <v>-176114.76</v>
      </c>
    </row>
    <row r="13">
      <c r="B13" s="47"/>
      <c r="C13" s="18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>
      <c r="A14" s="49" t="s">
        <v>86</v>
      </c>
      <c r="B14" s="51">
        <f>SUM(C14:O14)</f>
        <v>8534704.94</v>
      </c>
      <c r="C14" s="51">
        <f>'2023'!B28</f>
        <v>7349826.95</v>
      </c>
      <c r="D14" s="51">
        <f t="shared" ref="D14:O14" si="9">D10-D12</f>
        <v>0</v>
      </c>
      <c r="E14" s="51">
        <f t="shared" si="9"/>
        <v>-100892.55</v>
      </c>
      <c r="F14" s="51">
        <f t="shared" si="9"/>
        <v>0</v>
      </c>
      <c r="G14" s="51">
        <f t="shared" si="9"/>
        <v>56845.56</v>
      </c>
      <c r="H14" s="51">
        <f t="shared" si="9"/>
        <v>-316629.6</v>
      </c>
      <c r="I14" s="51">
        <f t="shared" si="9"/>
        <v>-72379.53</v>
      </c>
      <c r="J14" s="51">
        <f t="shared" si="9"/>
        <v>932950</v>
      </c>
      <c r="K14" s="51">
        <f t="shared" si="9"/>
        <v>289645.96</v>
      </c>
      <c r="L14" s="51">
        <f t="shared" si="9"/>
        <v>340618.4</v>
      </c>
      <c r="M14" s="51">
        <f t="shared" si="9"/>
        <v>415073.92</v>
      </c>
      <c r="N14" s="51">
        <f t="shared" si="9"/>
        <v>-204176.93</v>
      </c>
      <c r="O14" s="51">
        <f t="shared" si="9"/>
        <v>-156177.24</v>
      </c>
    </row>
    <row r="15">
      <c r="A15" s="2"/>
      <c r="B15" s="47"/>
      <c r="C15" s="5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>
      <c r="A16" s="53"/>
      <c r="B16" s="53"/>
      <c r="C16" s="53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2" t="s">
        <v>57</v>
      </c>
      <c r="B17" s="47"/>
      <c r="C17" s="52"/>
    </row>
    <row r="18">
      <c r="A18" s="56" t="s">
        <v>88</v>
      </c>
      <c r="B18" s="16">
        <f t="shared" ref="B18:B27" si="10">SUM(C18:O18)</f>
        <v>0</v>
      </c>
      <c r="C18" s="18"/>
      <c r="D18" s="33">
        <v>0.0</v>
      </c>
      <c r="E18" s="33">
        <v>0.0</v>
      </c>
      <c r="F18" s="33">
        <v>0.0</v>
      </c>
      <c r="G18" s="33">
        <v>0.0</v>
      </c>
      <c r="H18" s="33">
        <v>0.0</v>
      </c>
      <c r="I18" s="33">
        <v>0.0</v>
      </c>
      <c r="J18" s="33">
        <v>0.0</v>
      </c>
      <c r="K18" s="33">
        <v>0.0</v>
      </c>
      <c r="L18" s="33">
        <v>0.0</v>
      </c>
      <c r="M18" s="33">
        <v>0.0</v>
      </c>
      <c r="N18" s="33">
        <v>0.0</v>
      </c>
      <c r="O18" s="33">
        <v>0.0</v>
      </c>
    </row>
    <row r="19">
      <c r="A19" s="56" t="s">
        <v>89</v>
      </c>
      <c r="B19" s="16">
        <f t="shared" si="10"/>
        <v>789106</v>
      </c>
      <c r="C19" s="18"/>
      <c r="D19" s="33">
        <v>0.0</v>
      </c>
      <c r="E19" s="33">
        <v>0.0</v>
      </c>
      <c r="F19" s="33">
        <v>0.0</v>
      </c>
      <c r="G19" s="33">
        <v>0.0</v>
      </c>
      <c r="H19" s="33">
        <v>0.0</v>
      </c>
      <c r="I19" s="33">
        <v>0.0</v>
      </c>
      <c r="J19" s="33">
        <v>220000.0</v>
      </c>
      <c r="K19" s="33">
        <v>0.0</v>
      </c>
      <c r="L19" s="33">
        <v>0.0</v>
      </c>
      <c r="M19" s="33">
        <v>0.0</v>
      </c>
      <c r="N19" s="33">
        <v>0.0</v>
      </c>
      <c r="O19" s="33">
        <f>140000+429106</f>
        <v>569106</v>
      </c>
    </row>
    <row r="20">
      <c r="A20" s="56" t="s">
        <v>90</v>
      </c>
      <c r="B20" s="16">
        <f t="shared" si="10"/>
        <v>172920</v>
      </c>
      <c r="C20" s="18"/>
      <c r="D20" s="33">
        <v>0.0</v>
      </c>
      <c r="E20" s="33">
        <v>0.0</v>
      </c>
      <c r="F20" s="33">
        <v>0.0</v>
      </c>
      <c r="G20" s="33">
        <v>0.0</v>
      </c>
      <c r="H20" s="33">
        <v>0.0</v>
      </c>
      <c r="I20" s="33">
        <v>0.0</v>
      </c>
      <c r="J20" s="33">
        <v>0.0</v>
      </c>
      <c r="K20" s="33">
        <v>0.0</v>
      </c>
      <c r="L20" s="33">
        <v>0.0</v>
      </c>
      <c r="M20" s="33">
        <v>0.0</v>
      </c>
      <c r="N20" s="33">
        <v>0.0</v>
      </c>
      <c r="O20" s="33">
        <f>157200+15720</f>
        <v>172920</v>
      </c>
    </row>
    <row r="21" ht="15.75" customHeight="1">
      <c r="A21" s="56" t="s">
        <v>91</v>
      </c>
      <c r="B21" s="16">
        <f t="shared" si="10"/>
        <v>0</v>
      </c>
      <c r="C21" s="18"/>
      <c r="D21" s="33">
        <v>0.0</v>
      </c>
      <c r="E21" s="33">
        <v>0.0</v>
      </c>
      <c r="F21" s="33">
        <v>0.0</v>
      </c>
      <c r="G21" s="33">
        <v>0.0</v>
      </c>
      <c r="H21" s="33">
        <v>0.0</v>
      </c>
      <c r="I21" s="33">
        <v>0.0</v>
      </c>
      <c r="J21" s="33">
        <v>0.0</v>
      </c>
      <c r="K21" s="33">
        <v>0.0</v>
      </c>
      <c r="L21" s="33">
        <v>0.0</v>
      </c>
      <c r="M21" s="33">
        <v>0.0</v>
      </c>
      <c r="N21" s="33">
        <v>0.0</v>
      </c>
      <c r="O21" s="33">
        <v>0.0</v>
      </c>
    </row>
    <row r="22" ht="15.75" customHeight="1">
      <c r="A22" s="56" t="s">
        <v>92</v>
      </c>
      <c r="B22" s="16">
        <f t="shared" si="10"/>
        <v>0</v>
      </c>
      <c r="C22" s="18"/>
      <c r="D22" s="33">
        <v>0.0</v>
      </c>
      <c r="E22" s="33">
        <v>0.0</v>
      </c>
      <c r="F22" s="33">
        <v>0.0</v>
      </c>
      <c r="G22" s="33">
        <v>0.0</v>
      </c>
      <c r="H22" s="33">
        <v>0.0</v>
      </c>
      <c r="I22" s="33">
        <v>0.0</v>
      </c>
      <c r="J22" s="33">
        <v>0.0</v>
      </c>
      <c r="K22" s="33">
        <v>0.0</v>
      </c>
      <c r="L22" s="33">
        <v>0.0</v>
      </c>
      <c r="M22" s="33">
        <v>0.0</v>
      </c>
      <c r="N22" s="33">
        <v>0.0</v>
      </c>
      <c r="O22" s="33">
        <v>0.0</v>
      </c>
    </row>
    <row r="23" ht="15.75" customHeight="1">
      <c r="A23" s="56" t="s">
        <v>93</v>
      </c>
      <c r="B23" s="16">
        <f t="shared" si="10"/>
        <v>0</v>
      </c>
      <c r="C23" s="18"/>
      <c r="D23" s="33">
        <v>0.0</v>
      </c>
      <c r="E23" s="33">
        <v>0.0</v>
      </c>
      <c r="F23" s="33">
        <v>0.0</v>
      </c>
      <c r="G23" s="33">
        <v>0.0</v>
      </c>
      <c r="H23" s="33">
        <v>0.0</v>
      </c>
      <c r="I23" s="33">
        <v>0.0</v>
      </c>
      <c r="J23" s="33">
        <v>0.0</v>
      </c>
      <c r="K23" s="33">
        <v>0.0</v>
      </c>
      <c r="L23" s="33">
        <v>0.0</v>
      </c>
      <c r="M23" s="33">
        <v>0.0</v>
      </c>
      <c r="N23" s="33">
        <v>0.0</v>
      </c>
      <c r="O23" s="33">
        <v>0.0</v>
      </c>
    </row>
    <row r="24" ht="15.75" customHeight="1">
      <c r="A24" s="56" t="s">
        <v>94</v>
      </c>
      <c r="B24" s="16">
        <f t="shared" si="10"/>
        <v>0</v>
      </c>
      <c r="C24" s="18"/>
      <c r="D24" s="33">
        <v>0.0</v>
      </c>
      <c r="E24" s="33">
        <v>0.0</v>
      </c>
      <c r="F24" s="33">
        <v>0.0</v>
      </c>
      <c r="G24" s="33">
        <v>0.0</v>
      </c>
      <c r="H24" s="33">
        <v>0.0</v>
      </c>
      <c r="I24" s="33">
        <v>0.0</v>
      </c>
      <c r="J24" s="33">
        <v>0.0</v>
      </c>
      <c r="K24" s="33">
        <v>0.0</v>
      </c>
      <c r="L24" s="33">
        <v>0.0</v>
      </c>
      <c r="M24" s="33">
        <v>0.0</v>
      </c>
      <c r="N24" s="33">
        <v>0.0</v>
      </c>
      <c r="O24" s="33">
        <v>0.0</v>
      </c>
    </row>
    <row r="25" ht="15.75" customHeight="1">
      <c r="A25" s="56" t="s">
        <v>95</v>
      </c>
      <c r="B25" s="16">
        <f t="shared" si="10"/>
        <v>0</v>
      </c>
      <c r="C25" s="18"/>
      <c r="D25" s="33">
        <v>0.0</v>
      </c>
      <c r="E25" s="33">
        <v>0.0</v>
      </c>
      <c r="F25" s="33">
        <v>0.0</v>
      </c>
      <c r="G25" s="33">
        <v>0.0</v>
      </c>
      <c r="H25" s="33">
        <v>0.0</v>
      </c>
      <c r="I25" s="33">
        <v>0.0</v>
      </c>
      <c r="J25" s="33">
        <v>0.0</v>
      </c>
      <c r="K25" s="33">
        <v>0.0</v>
      </c>
      <c r="L25" s="33">
        <v>0.0</v>
      </c>
      <c r="M25" s="33">
        <v>0.0</v>
      </c>
      <c r="N25" s="33">
        <v>0.0</v>
      </c>
      <c r="O25" s="33">
        <v>0.0</v>
      </c>
    </row>
    <row r="26" ht="15.75" customHeight="1">
      <c r="A26" s="56" t="s">
        <v>96</v>
      </c>
      <c r="B26" s="16">
        <f t="shared" si="10"/>
        <v>2988674</v>
      </c>
      <c r="C26" s="18"/>
      <c r="D26" s="33">
        <v>0.0</v>
      </c>
      <c r="E26" s="33">
        <v>214665.0</v>
      </c>
      <c r="F26" s="33">
        <v>0.0</v>
      </c>
      <c r="G26" s="33">
        <v>137052.0</v>
      </c>
      <c r="H26" s="33">
        <v>673680.0</v>
      </c>
      <c r="I26" s="33">
        <v>153999.0</v>
      </c>
      <c r="J26" s="33">
        <v>0.0</v>
      </c>
      <c r="K26" s="33">
        <v>1473732.0</v>
      </c>
      <c r="L26" s="33">
        <v>285280.0</v>
      </c>
      <c r="M26" s="33">
        <v>0.0</v>
      </c>
      <c r="N26" s="33">
        <v>0.0</v>
      </c>
      <c r="O26" s="33">
        <f>25266+25000</f>
        <v>50266</v>
      </c>
    </row>
    <row r="27" ht="15.75" customHeight="1">
      <c r="A27" s="58" t="s">
        <v>97</v>
      </c>
      <c r="B27" s="16">
        <f t="shared" si="10"/>
        <v>3950700</v>
      </c>
      <c r="C27" s="18">
        <f>'2023'!B3</f>
        <v>0</v>
      </c>
      <c r="D27" s="59">
        <f t="shared" ref="D27:O27" si="11">SUM(D18:D26)</f>
        <v>0</v>
      </c>
      <c r="E27" s="59">
        <f t="shared" si="11"/>
        <v>214665</v>
      </c>
      <c r="F27" s="59">
        <f t="shared" si="11"/>
        <v>0</v>
      </c>
      <c r="G27" s="59">
        <f t="shared" si="11"/>
        <v>137052</v>
      </c>
      <c r="H27" s="59">
        <f t="shared" si="11"/>
        <v>673680</v>
      </c>
      <c r="I27" s="59">
        <f t="shared" si="11"/>
        <v>153999</v>
      </c>
      <c r="J27" s="59">
        <f t="shared" si="11"/>
        <v>220000</v>
      </c>
      <c r="K27" s="59">
        <f t="shared" si="11"/>
        <v>1473732</v>
      </c>
      <c r="L27" s="59">
        <f t="shared" si="11"/>
        <v>285280</v>
      </c>
      <c r="M27" s="59">
        <f t="shared" si="11"/>
        <v>0</v>
      </c>
      <c r="N27" s="59">
        <f t="shared" si="11"/>
        <v>0</v>
      </c>
      <c r="O27" s="59">
        <f t="shared" si="11"/>
        <v>792292</v>
      </c>
    </row>
    <row r="28" ht="15.75" customHeight="1">
      <c r="A28" s="2"/>
      <c r="B28" s="47"/>
      <c r="C28" s="52"/>
    </row>
    <row r="29" ht="15.75" customHeight="1">
      <c r="A29" s="53"/>
      <c r="B29" s="53"/>
      <c r="C29" s="53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2"/>
      <c r="B30" s="47"/>
      <c r="C30" s="52"/>
    </row>
    <row r="31" ht="15.75" customHeight="1">
      <c r="A31" s="2" t="s">
        <v>81</v>
      </c>
      <c r="B31" s="47"/>
      <c r="C31" s="52"/>
    </row>
    <row r="32" ht="15.75" customHeight="1">
      <c r="A32" s="56" t="s">
        <v>88</v>
      </c>
      <c r="B32" s="16">
        <f t="shared" ref="B32:B41" si="14">SUM(C32:O32)</f>
        <v>25210.17</v>
      </c>
      <c r="C32" s="18"/>
      <c r="D32" s="33">
        <f t="shared" ref="D32:E32" si="12">D$10*0.01</f>
        <v>0</v>
      </c>
      <c r="E32" s="33">
        <f t="shared" si="12"/>
        <v>-2146.65</v>
      </c>
      <c r="F32" s="33">
        <f>F$10*0.7</f>
        <v>0</v>
      </c>
      <c r="G32" s="33">
        <f t="shared" ref="G32:O32" si="13">G$10*0.01</f>
        <v>1209.48</v>
      </c>
      <c r="H32" s="33">
        <f t="shared" si="13"/>
        <v>-6736.8</v>
      </c>
      <c r="I32" s="33">
        <f t="shared" si="13"/>
        <v>-1539.99</v>
      </c>
      <c r="J32" s="33">
        <f t="shared" si="13"/>
        <v>19850</v>
      </c>
      <c r="K32" s="33">
        <f t="shared" si="13"/>
        <v>6162.68</v>
      </c>
      <c r="L32" s="33">
        <f t="shared" si="13"/>
        <v>7247.2</v>
      </c>
      <c r="M32" s="33">
        <f t="shared" si="13"/>
        <v>8831.36</v>
      </c>
      <c r="N32" s="33">
        <f t="shared" si="13"/>
        <v>-4344.19</v>
      </c>
      <c r="O32" s="33">
        <f t="shared" si="13"/>
        <v>-3322.92</v>
      </c>
    </row>
    <row r="33" ht="15.75" customHeight="1">
      <c r="A33" s="56" t="s">
        <v>89</v>
      </c>
      <c r="B33" s="16">
        <f t="shared" si="14"/>
        <v>25210.17</v>
      </c>
      <c r="C33" s="18"/>
      <c r="D33" s="33">
        <f t="shared" ref="D33:E33" si="15">D$10*0.01</f>
        <v>0</v>
      </c>
      <c r="E33" s="33">
        <f t="shared" si="15"/>
        <v>-2146.65</v>
      </c>
      <c r="F33" s="33">
        <f>F$10*0.05</f>
        <v>0</v>
      </c>
      <c r="G33" s="33">
        <f t="shared" ref="G33:O33" si="16">G$10*0.01</f>
        <v>1209.48</v>
      </c>
      <c r="H33" s="33">
        <f t="shared" si="16"/>
        <v>-6736.8</v>
      </c>
      <c r="I33" s="33">
        <f t="shared" si="16"/>
        <v>-1539.99</v>
      </c>
      <c r="J33" s="33">
        <f t="shared" si="16"/>
        <v>19850</v>
      </c>
      <c r="K33" s="33">
        <f t="shared" si="16"/>
        <v>6162.68</v>
      </c>
      <c r="L33" s="33">
        <f t="shared" si="16"/>
        <v>7247.2</v>
      </c>
      <c r="M33" s="33">
        <f t="shared" si="16"/>
        <v>8831.36</v>
      </c>
      <c r="N33" s="33">
        <f t="shared" si="16"/>
        <v>-4344.19</v>
      </c>
      <c r="O33" s="33">
        <f t="shared" si="16"/>
        <v>-3322.92</v>
      </c>
    </row>
    <row r="34" ht="15.75" customHeight="1">
      <c r="A34" s="56" t="s">
        <v>90</v>
      </c>
      <c r="B34" s="16">
        <f t="shared" si="14"/>
        <v>126050.85</v>
      </c>
      <c r="C34" s="18"/>
      <c r="D34" s="33">
        <f t="shared" ref="D34:E34" si="17">D$10*0.05</f>
        <v>0</v>
      </c>
      <c r="E34" s="33">
        <f t="shared" si="17"/>
        <v>-10733.25</v>
      </c>
      <c r="F34" s="33">
        <f>F$10*0.02</f>
        <v>0</v>
      </c>
      <c r="G34" s="33">
        <f t="shared" ref="G34:O34" si="18">G$10*0.05</f>
        <v>6047.4</v>
      </c>
      <c r="H34" s="33">
        <f t="shared" si="18"/>
        <v>-33684</v>
      </c>
      <c r="I34" s="33">
        <f t="shared" si="18"/>
        <v>-7699.95</v>
      </c>
      <c r="J34" s="33">
        <f t="shared" si="18"/>
        <v>99250</v>
      </c>
      <c r="K34" s="33">
        <f t="shared" si="18"/>
        <v>30813.4</v>
      </c>
      <c r="L34" s="33">
        <f t="shared" si="18"/>
        <v>36236</v>
      </c>
      <c r="M34" s="33">
        <f t="shared" si="18"/>
        <v>44156.8</v>
      </c>
      <c r="N34" s="33">
        <f t="shared" si="18"/>
        <v>-21720.95</v>
      </c>
      <c r="O34" s="33">
        <f t="shared" si="18"/>
        <v>-16614.6</v>
      </c>
    </row>
    <row r="35" ht="15.75" customHeight="1">
      <c r="A35" s="56" t="s">
        <v>91</v>
      </c>
      <c r="B35" s="16">
        <f t="shared" si="14"/>
        <v>25210.17</v>
      </c>
      <c r="C35" s="18"/>
      <c r="D35" s="33">
        <f t="shared" ref="D35:O35" si="19">D$10*0.01</f>
        <v>0</v>
      </c>
      <c r="E35" s="33">
        <f t="shared" si="19"/>
        <v>-2146.65</v>
      </c>
      <c r="F35" s="33">
        <f t="shared" si="19"/>
        <v>0</v>
      </c>
      <c r="G35" s="33">
        <f t="shared" si="19"/>
        <v>1209.48</v>
      </c>
      <c r="H35" s="33">
        <f t="shared" si="19"/>
        <v>-6736.8</v>
      </c>
      <c r="I35" s="33">
        <f t="shared" si="19"/>
        <v>-1539.99</v>
      </c>
      <c r="J35" s="33">
        <f t="shared" si="19"/>
        <v>19850</v>
      </c>
      <c r="K35" s="33">
        <f t="shared" si="19"/>
        <v>6162.68</v>
      </c>
      <c r="L35" s="33">
        <f t="shared" si="19"/>
        <v>7247.2</v>
      </c>
      <c r="M35" s="33">
        <f t="shared" si="19"/>
        <v>8831.36</v>
      </c>
      <c r="N35" s="33">
        <f t="shared" si="19"/>
        <v>-4344.19</v>
      </c>
      <c r="O35" s="33">
        <f t="shared" si="19"/>
        <v>-3322.92</v>
      </c>
    </row>
    <row r="36" ht="15.75" customHeight="1">
      <c r="A36" s="56" t="s">
        <v>92</v>
      </c>
      <c r="B36" s="16">
        <f t="shared" si="14"/>
        <v>252101.7</v>
      </c>
      <c r="C36" s="18"/>
      <c r="D36" s="33">
        <f t="shared" ref="D36:O36" si="20">D$10*0.1</f>
        <v>0</v>
      </c>
      <c r="E36" s="33">
        <f t="shared" si="20"/>
        <v>-21466.5</v>
      </c>
      <c r="F36" s="33">
        <f t="shared" si="20"/>
        <v>0</v>
      </c>
      <c r="G36" s="33">
        <f t="shared" si="20"/>
        <v>12094.8</v>
      </c>
      <c r="H36" s="33">
        <f t="shared" si="20"/>
        <v>-67368</v>
      </c>
      <c r="I36" s="33">
        <f t="shared" si="20"/>
        <v>-15399.9</v>
      </c>
      <c r="J36" s="33">
        <f t="shared" si="20"/>
        <v>198500</v>
      </c>
      <c r="K36" s="33">
        <f t="shared" si="20"/>
        <v>61626.8</v>
      </c>
      <c r="L36" s="33">
        <f t="shared" si="20"/>
        <v>72472</v>
      </c>
      <c r="M36" s="33">
        <f t="shared" si="20"/>
        <v>88313.6</v>
      </c>
      <c r="N36" s="33">
        <f t="shared" si="20"/>
        <v>-43441.9</v>
      </c>
      <c r="O36" s="33">
        <f t="shared" si="20"/>
        <v>-33229.2</v>
      </c>
    </row>
    <row r="37" ht="15.75" customHeight="1">
      <c r="A37" s="56" t="s">
        <v>93</v>
      </c>
      <c r="B37" s="16">
        <f t="shared" si="14"/>
        <v>126050.85</v>
      </c>
      <c r="C37" s="18"/>
      <c r="D37" s="33">
        <f t="shared" ref="D37:E37" si="21">D$10*0.05</f>
        <v>0</v>
      </c>
      <c r="E37" s="33">
        <f t="shared" si="21"/>
        <v>-10733.25</v>
      </c>
      <c r="F37" s="33">
        <f>F$10*0.02</f>
        <v>0</v>
      </c>
      <c r="G37" s="33">
        <f t="shared" ref="G37:O37" si="22">G$10*0.05</f>
        <v>6047.4</v>
      </c>
      <c r="H37" s="33">
        <f t="shared" si="22"/>
        <v>-33684</v>
      </c>
      <c r="I37" s="33">
        <f t="shared" si="22"/>
        <v>-7699.95</v>
      </c>
      <c r="J37" s="33">
        <f t="shared" si="22"/>
        <v>99250</v>
      </c>
      <c r="K37" s="33">
        <f t="shared" si="22"/>
        <v>30813.4</v>
      </c>
      <c r="L37" s="33">
        <f t="shared" si="22"/>
        <v>36236</v>
      </c>
      <c r="M37" s="33">
        <f t="shared" si="22"/>
        <v>44156.8</v>
      </c>
      <c r="N37" s="33">
        <f t="shared" si="22"/>
        <v>-21720.95</v>
      </c>
      <c r="O37" s="33">
        <f t="shared" si="22"/>
        <v>-16614.6</v>
      </c>
    </row>
    <row r="38" ht="15.75" customHeight="1">
      <c r="A38" s="56" t="s">
        <v>94</v>
      </c>
      <c r="B38" s="16">
        <f t="shared" si="14"/>
        <v>252101.7</v>
      </c>
      <c r="C38" s="18"/>
      <c r="D38" s="33">
        <f t="shared" ref="D38:E38" si="23">D$10*0.1</f>
        <v>0</v>
      </c>
      <c r="E38" s="33">
        <f t="shared" si="23"/>
        <v>-21466.5</v>
      </c>
      <c r="F38" s="33">
        <f>F$10*0.05</f>
        <v>0</v>
      </c>
      <c r="G38" s="33">
        <f t="shared" ref="G38:O38" si="24">G$10*0.1</f>
        <v>12094.8</v>
      </c>
      <c r="H38" s="33">
        <f t="shared" si="24"/>
        <v>-67368</v>
      </c>
      <c r="I38" s="33">
        <f t="shared" si="24"/>
        <v>-15399.9</v>
      </c>
      <c r="J38" s="33">
        <f t="shared" si="24"/>
        <v>198500</v>
      </c>
      <c r="K38" s="33">
        <f t="shared" si="24"/>
        <v>61626.8</v>
      </c>
      <c r="L38" s="33">
        <f t="shared" si="24"/>
        <v>72472</v>
      </c>
      <c r="M38" s="33">
        <f t="shared" si="24"/>
        <v>88313.6</v>
      </c>
      <c r="N38" s="33">
        <f t="shared" si="24"/>
        <v>-43441.9</v>
      </c>
      <c r="O38" s="33">
        <f t="shared" si="24"/>
        <v>-33229.2</v>
      </c>
    </row>
    <row r="39" ht="15.75" customHeight="1">
      <c r="A39" s="56" t="s">
        <v>95</v>
      </c>
      <c r="B39" s="16">
        <f t="shared" si="14"/>
        <v>252101.7</v>
      </c>
      <c r="C39" s="18"/>
      <c r="D39" s="33">
        <f t="shared" ref="D39:E39" si="25">D$10*0.1</f>
        <v>0</v>
      </c>
      <c r="E39" s="33">
        <f t="shared" si="25"/>
        <v>-21466.5</v>
      </c>
      <c r="F39" s="33">
        <f t="shared" ref="F39:F40" si="28">F$10*0.02</f>
        <v>0</v>
      </c>
      <c r="G39" s="33">
        <f t="shared" ref="G39:O39" si="26">G$10*0.1</f>
        <v>12094.8</v>
      </c>
      <c r="H39" s="33">
        <f t="shared" si="26"/>
        <v>-67368</v>
      </c>
      <c r="I39" s="33">
        <f t="shared" si="26"/>
        <v>-15399.9</v>
      </c>
      <c r="J39" s="33">
        <f t="shared" si="26"/>
        <v>198500</v>
      </c>
      <c r="K39" s="33">
        <f t="shared" si="26"/>
        <v>61626.8</v>
      </c>
      <c r="L39" s="33">
        <f t="shared" si="26"/>
        <v>72472</v>
      </c>
      <c r="M39" s="33">
        <f t="shared" si="26"/>
        <v>88313.6</v>
      </c>
      <c r="N39" s="33">
        <f t="shared" si="26"/>
        <v>-43441.9</v>
      </c>
      <c r="O39" s="33">
        <f t="shared" si="26"/>
        <v>-33229.2</v>
      </c>
    </row>
    <row r="40" ht="15.75" customHeight="1">
      <c r="A40" s="56" t="s">
        <v>96</v>
      </c>
      <c r="B40" s="16">
        <f t="shared" si="14"/>
        <v>252101.7</v>
      </c>
      <c r="C40" s="18"/>
      <c r="D40" s="33">
        <f t="shared" ref="D40:E40" si="27">D$10*0.1</f>
        <v>0</v>
      </c>
      <c r="E40" s="33">
        <f t="shared" si="27"/>
        <v>-21466.5</v>
      </c>
      <c r="F40" s="33">
        <f t="shared" si="28"/>
        <v>0</v>
      </c>
      <c r="G40" s="33">
        <f t="shared" ref="G40:O40" si="29">G$10*0.1</f>
        <v>12094.8</v>
      </c>
      <c r="H40" s="33">
        <f t="shared" si="29"/>
        <v>-67368</v>
      </c>
      <c r="I40" s="33">
        <f t="shared" si="29"/>
        <v>-15399.9</v>
      </c>
      <c r="J40" s="33">
        <f t="shared" si="29"/>
        <v>198500</v>
      </c>
      <c r="K40" s="33">
        <f t="shared" si="29"/>
        <v>61626.8</v>
      </c>
      <c r="L40" s="33">
        <f t="shared" si="29"/>
        <v>72472</v>
      </c>
      <c r="M40" s="33">
        <f t="shared" si="29"/>
        <v>88313.6</v>
      </c>
      <c r="N40" s="33">
        <f t="shared" si="29"/>
        <v>-43441.9</v>
      </c>
      <c r="O40" s="33">
        <f t="shared" si="29"/>
        <v>-33229.2</v>
      </c>
    </row>
    <row r="41" ht="15.75" customHeight="1">
      <c r="A41" s="71" t="s">
        <v>105</v>
      </c>
      <c r="B41" s="16">
        <f t="shared" si="14"/>
        <v>7500047.06</v>
      </c>
      <c r="C41" s="18">
        <f>'2023'!B24</f>
        <v>6163908.05</v>
      </c>
      <c r="D41" s="45">
        <f t="shared" ref="D41:O41" si="30">SUM(D32:D40)</f>
        <v>0</v>
      </c>
      <c r="E41" s="45">
        <f t="shared" si="30"/>
        <v>-113772.45</v>
      </c>
      <c r="F41" s="45">
        <f t="shared" si="30"/>
        <v>0</v>
      </c>
      <c r="G41" s="45">
        <f t="shared" si="30"/>
        <v>64102.44</v>
      </c>
      <c r="H41" s="45">
        <f t="shared" si="30"/>
        <v>-357050.4</v>
      </c>
      <c r="I41" s="45">
        <f t="shared" si="30"/>
        <v>-81619.47</v>
      </c>
      <c r="J41" s="45">
        <f t="shared" si="30"/>
        <v>1052050</v>
      </c>
      <c r="K41" s="45">
        <f t="shared" si="30"/>
        <v>326622.04</v>
      </c>
      <c r="L41" s="45">
        <f t="shared" si="30"/>
        <v>384101.6</v>
      </c>
      <c r="M41" s="45">
        <f t="shared" si="30"/>
        <v>468062.08</v>
      </c>
      <c r="N41" s="45">
        <f t="shared" si="30"/>
        <v>-230242.07</v>
      </c>
      <c r="O41" s="45">
        <f t="shared" si="30"/>
        <v>-176114.76</v>
      </c>
    </row>
    <row r="42" ht="15.75" customHeight="1">
      <c r="A42" s="2"/>
      <c r="B42" s="47"/>
      <c r="C42" s="52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ht="15.75" customHeight="1">
      <c r="A43" s="53"/>
      <c r="B43" s="53"/>
      <c r="C43" s="53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B44" s="2"/>
      <c r="C44" s="2"/>
    </row>
    <row r="45" ht="15.75" customHeight="1">
      <c r="B45" s="2"/>
      <c r="C45" s="2"/>
    </row>
    <row r="46" ht="15.75" customHeight="1">
      <c r="B46" s="2"/>
      <c r="C46" s="2"/>
    </row>
    <row r="47" ht="15.75" customHeight="1">
      <c r="B47" s="2"/>
      <c r="C47" s="2"/>
    </row>
    <row r="48" ht="15.75" customHeight="1">
      <c r="B48" s="2"/>
      <c r="C48" s="2"/>
    </row>
    <row r="49" ht="15.75" customHeight="1">
      <c r="B49" s="2"/>
      <c r="C49" s="2"/>
    </row>
    <row r="50" ht="15.75" customHeight="1">
      <c r="B50" s="2"/>
      <c r="C50" s="2"/>
    </row>
    <row r="51" ht="15.75" customHeight="1">
      <c r="B51" s="2"/>
      <c r="C51" s="2"/>
    </row>
    <row r="52" ht="15.75" customHeight="1">
      <c r="B52" s="2"/>
      <c r="C52" s="2"/>
    </row>
    <row r="53" ht="15.75" customHeight="1">
      <c r="B53" s="2"/>
      <c r="C53" s="2"/>
    </row>
    <row r="54" ht="15.75" customHeight="1">
      <c r="B54" s="2"/>
      <c r="C54" s="2"/>
    </row>
    <row r="55" ht="15.75" customHeight="1">
      <c r="B55" s="2"/>
      <c r="C55" s="2"/>
    </row>
    <row r="56" ht="15.75" customHeight="1">
      <c r="B56" s="2"/>
      <c r="C56" s="2"/>
    </row>
    <row r="57" ht="15.75" customHeight="1">
      <c r="B57" s="2"/>
      <c r="C57" s="2"/>
    </row>
    <row r="58" ht="15.75" customHeight="1">
      <c r="B58" s="2"/>
      <c r="C58" s="2"/>
    </row>
    <row r="59" ht="15.75" customHeight="1">
      <c r="B59" s="2"/>
      <c r="C59" s="2"/>
    </row>
    <row r="60" ht="15.75" customHeight="1">
      <c r="B60" s="2"/>
      <c r="C60" s="2"/>
    </row>
    <row r="61" ht="15.75" customHeight="1">
      <c r="B61" s="2"/>
      <c r="C61" s="2"/>
    </row>
    <row r="62" ht="15.75" customHeight="1">
      <c r="B62" s="2"/>
      <c r="C62" s="2"/>
    </row>
    <row r="63" ht="15.75" customHeight="1">
      <c r="B63" s="2"/>
      <c r="C63" s="2"/>
    </row>
    <row r="64" ht="15.75" customHeight="1">
      <c r="B64" s="2"/>
      <c r="C64" s="2"/>
    </row>
    <row r="65" ht="15.75" customHeight="1">
      <c r="B65" s="2"/>
      <c r="C65" s="2"/>
    </row>
    <row r="66" ht="15.75" customHeight="1">
      <c r="B66" s="2"/>
      <c r="C66" s="2"/>
    </row>
    <row r="67" ht="15.75" customHeight="1">
      <c r="B67" s="2"/>
      <c r="C67" s="2"/>
    </row>
    <row r="68" ht="15.75" customHeight="1">
      <c r="B68" s="2"/>
      <c r="C68" s="2"/>
    </row>
    <row r="69" ht="15.75" customHeight="1">
      <c r="B69" s="2"/>
      <c r="C69" s="2"/>
    </row>
    <row r="70" ht="15.75" customHeight="1">
      <c r="B70" s="2"/>
      <c r="C70" s="2"/>
    </row>
    <row r="71" ht="15.75" customHeight="1">
      <c r="B71" s="2"/>
      <c r="C71" s="2"/>
    </row>
    <row r="72" ht="15.75" customHeight="1">
      <c r="B72" s="2"/>
      <c r="C72" s="2"/>
    </row>
    <row r="73" ht="15.75" customHeight="1">
      <c r="B73" s="2"/>
      <c r="C73" s="2"/>
    </row>
    <row r="74" ht="15.75" customHeight="1">
      <c r="B74" s="2"/>
      <c r="C74" s="2"/>
    </row>
    <row r="75" ht="15.75" customHeight="1">
      <c r="B75" s="2"/>
      <c r="C75" s="2"/>
    </row>
    <row r="76" ht="15.75" customHeight="1">
      <c r="B76" s="2"/>
      <c r="C76" s="2"/>
    </row>
    <row r="77" ht="15.75" customHeight="1">
      <c r="B77" s="2"/>
      <c r="C77" s="2"/>
    </row>
    <row r="78" ht="15.75" customHeight="1">
      <c r="B78" s="2"/>
      <c r="C78" s="2"/>
    </row>
    <row r="79" ht="15.75" customHeight="1">
      <c r="B79" s="2"/>
      <c r="C79" s="2"/>
    </row>
    <row r="80" ht="15.75" customHeight="1">
      <c r="B80" s="2"/>
      <c r="C80" s="2"/>
    </row>
    <row r="81" ht="15.75" customHeight="1">
      <c r="B81" s="2"/>
      <c r="C81" s="2"/>
    </row>
    <row r="82" ht="15.75" customHeight="1">
      <c r="B82" s="2"/>
      <c r="C82" s="2"/>
    </row>
    <row r="83" ht="15.75" customHeight="1">
      <c r="B83" s="2"/>
      <c r="C83" s="2"/>
    </row>
    <row r="84" ht="15.75" customHeight="1">
      <c r="B84" s="2"/>
      <c r="C84" s="2"/>
    </row>
    <row r="85" ht="15.75" customHeight="1">
      <c r="B85" s="2"/>
      <c r="C85" s="2"/>
    </row>
    <row r="86" ht="15.75" customHeight="1">
      <c r="B86" s="2"/>
      <c r="C86" s="2"/>
    </row>
    <row r="87" ht="15.75" customHeight="1">
      <c r="B87" s="2"/>
      <c r="C87" s="2"/>
    </row>
    <row r="88" ht="15.75" customHeight="1">
      <c r="B88" s="2"/>
      <c r="C88" s="2"/>
    </row>
    <row r="89" ht="15.75" customHeight="1">
      <c r="B89" s="2"/>
      <c r="C89" s="2"/>
    </row>
    <row r="90" ht="15.75" customHeight="1">
      <c r="B90" s="2"/>
      <c r="C90" s="2"/>
    </row>
    <row r="91" ht="15.75" customHeight="1">
      <c r="B91" s="2"/>
      <c r="C91" s="2"/>
    </row>
    <row r="92" ht="15.75" customHeight="1">
      <c r="B92" s="2"/>
      <c r="C92" s="2"/>
    </row>
    <row r="93" ht="15.75" customHeight="1">
      <c r="B93" s="2"/>
      <c r="C93" s="2"/>
    </row>
    <row r="94" ht="15.75" customHeight="1">
      <c r="B94" s="2"/>
      <c r="C94" s="2"/>
    </row>
    <row r="95" ht="15.75" customHeight="1">
      <c r="B95" s="2"/>
      <c r="C95" s="2"/>
    </row>
    <row r="96" ht="15.75" customHeight="1">
      <c r="B96" s="2"/>
      <c r="C96" s="2"/>
    </row>
    <row r="97" ht="15.75" customHeight="1">
      <c r="B97" s="2"/>
      <c r="C97" s="2"/>
    </row>
    <row r="98" ht="15.75" customHeight="1">
      <c r="B98" s="2"/>
      <c r="C98" s="2"/>
    </row>
    <row r="99" ht="15.75" customHeight="1">
      <c r="B99" s="2"/>
      <c r="C99" s="2"/>
    </row>
    <row r="100" ht="15.75" customHeight="1">
      <c r="B100" s="2"/>
      <c r="C100" s="2"/>
    </row>
    <row r="101" ht="15.75" customHeight="1">
      <c r="B101" s="2"/>
      <c r="C101" s="2"/>
    </row>
    <row r="102" ht="15.75" customHeight="1">
      <c r="B102" s="2"/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  <c r="C141" s="2"/>
    </row>
    <row r="142" ht="15.75" customHeight="1">
      <c r="B142" s="2"/>
      <c r="C142" s="2"/>
    </row>
    <row r="143" ht="15.75" customHeight="1">
      <c r="B143" s="2"/>
      <c r="C143" s="2"/>
    </row>
    <row r="144" ht="15.75" customHeight="1">
      <c r="B144" s="2"/>
      <c r="C144" s="2"/>
    </row>
    <row r="145" ht="15.75" customHeight="1">
      <c r="B145" s="2"/>
      <c r="C145" s="2"/>
    </row>
    <row r="146" ht="15.75" customHeight="1">
      <c r="B146" s="2"/>
      <c r="C146" s="2"/>
    </row>
    <row r="147" ht="15.75" customHeight="1">
      <c r="B147" s="2"/>
      <c r="C147" s="2"/>
    </row>
    <row r="148" ht="15.75" customHeight="1">
      <c r="B148" s="2"/>
      <c r="C148" s="2"/>
    </row>
    <row r="149" ht="15.75" customHeight="1">
      <c r="B149" s="2"/>
      <c r="C149" s="2"/>
    </row>
    <row r="150" ht="15.75" customHeight="1">
      <c r="B150" s="2"/>
      <c r="C150" s="2"/>
    </row>
    <row r="151" ht="15.75" customHeight="1">
      <c r="B151" s="2"/>
      <c r="C151" s="2"/>
    </row>
    <row r="152" ht="15.75" customHeight="1">
      <c r="B152" s="2"/>
      <c r="C152" s="2"/>
    </row>
    <row r="153" ht="15.75" customHeight="1">
      <c r="B153" s="2"/>
      <c r="C153" s="2"/>
    </row>
    <row r="154" ht="15.75" customHeight="1">
      <c r="B154" s="2"/>
      <c r="C154" s="2"/>
    </row>
    <row r="155" ht="15.75" customHeight="1">
      <c r="B155" s="2"/>
      <c r="C155" s="2"/>
    </row>
    <row r="156" ht="15.75" customHeight="1">
      <c r="B156" s="2"/>
      <c r="C156" s="2"/>
    </row>
    <row r="157" ht="15.75" customHeight="1">
      <c r="B157" s="2"/>
      <c r="C157" s="2"/>
    </row>
    <row r="158" ht="15.75" customHeight="1">
      <c r="B158" s="2"/>
      <c r="C158" s="2"/>
    </row>
    <row r="159" ht="15.75" customHeight="1">
      <c r="B159" s="2"/>
      <c r="C159" s="2"/>
    </row>
    <row r="160" ht="15.75" customHeight="1">
      <c r="B160" s="2"/>
      <c r="C160" s="2"/>
    </row>
    <row r="161" ht="15.75" customHeight="1">
      <c r="B161" s="2"/>
      <c r="C161" s="2"/>
    </row>
    <row r="162" ht="15.75" customHeight="1">
      <c r="B162" s="2"/>
      <c r="C162" s="2"/>
    </row>
    <row r="163" ht="15.75" customHeight="1">
      <c r="B163" s="2"/>
      <c r="C163" s="2"/>
    </row>
    <row r="164" ht="15.75" customHeight="1">
      <c r="B164" s="2"/>
      <c r="C164" s="2"/>
    </row>
    <row r="165" ht="15.75" customHeight="1">
      <c r="B165" s="2"/>
      <c r="C165" s="2"/>
    </row>
    <row r="166" ht="15.75" customHeight="1">
      <c r="B166" s="2"/>
      <c r="C166" s="2"/>
    </row>
    <row r="167" ht="15.75" customHeight="1">
      <c r="B167" s="2"/>
      <c r="C167" s="2"/>
    </row>
    <row r="168" ht="15.75" customHeight="1">
      <c r="B168" s="2"/>
      <c r="C168" s="2"/>
    </row>
    <row r="169" ht="15.75" customHeight="1">
      <c r="B169" s="2"/>
      <c r="C169" s="2"/>
    </row>
    <row r="170" ht="15.75" customHeight="1">
      <c r="B170" s="2"/>
      <c r="C170" s="2"/>
    </row>
    <row r="171" ht="15.75" customHeight="1">
      <c r="B171" s="2"/>
      <c r="C171" s="2"/>
    </row>
    <row r="172" ht="15.75" customHeight="1">
      <c r="B172" s="2"/>
      <c r="C172" s="2"/>
    </row>
    <row r="173" ht="15.75" customHeight="1">
      <c r="B173" s="2"/>
      <c r="C173" s="2"/>
    </row>
    <row r="174" ht="15.75" customHeight="1">
      <c r="B174" s="2"/>
      <c r="C174" s="2"/>
    </row>
    <row r="175" ht="15.75" customHeight="1">
      <c r="B175" s="2"/>
      <c r="C175" s="2"/>
    </row>
    <row r="176" ht="15.75" customHeight="1">
      <c r="B176" s="2"/>
      <c r="C176" s="2"/>
    </row>
    <row r="177" ht="15.75" customHeight="1">
      <c r="B177" s="2"/>
      <c r="C177" s="2"/>
    </row>
    <row r="178" ht="15.75" customHeight="1">
      <c r="B178" s="2"/>
      <c r="C178" s="2"/>
    </row>
    <row r="179" ht="15.75" customHeight="1">
      <c r="B179" s="2"/>
      <c r="C179" s="2"/>
    </row>
    <row r="180" ht="15.75" customHeight="1">
      <c r="B180" s="2"/>
      <c r="C180" s="2"/>
    </row>
    <row r="181" ht="15.75" customHeight="1">
      <c r="B181" s="2"/>
      <c r="C181" s="2"/>
    </row>
    <row r="182" ht="15.75" customHeight="1">
      <c r="B182" s="2"/>
      <c r="C182" s="2"/>
    </row>
    <row r="183" ht="15.75" customHeight="1">
      <c r="B183" s="2"/>
      <c r="C183" s="2"/>
    </row>
    <row r="184" ht="15.75" customHeight="1">
      <c r="B184" s="2"/>
      <c r="C184" s="2"/>
    </row>
    <row r="185" ht="15.75" customHeight="1">
      <c r="B185" s="2"/>
      <c r="C185" s="2"/>
    </row>
    <row r="186" ht="15.75" customHeight="1">
      <c r="B186" s="2"/>
      <c r="C186" s="2"/>
    </row>
    <row r="187" ht="15.75" customHeight="1">
      <c r="B187" s="2"/>
      <c r="C187" s="2"/>
    </row>
    <row r="188" ht="15.75" customHeight="1">
      <c r="B188" s="2"/>
      <c r="C188" s="2"/>
    </row>
    <row r="189" ht="15.75" customHeight="1">
      <c r="B189" s="2"/>
      <c r="C189" s="2"/>
    </row>
    <row r="190" ht="15.75" customHeight="1">
      <c r="B190" s="2"/>
      <c r="C190" s="2"/>
    </row>
    <row r="191" ht="15.75" customHeight="1">
      <c r="B191" s="2"/>
      <c r="C191" s="2"/>
    </row>
    <row r="192" ht="15.75" customHeight="1">
      <c r="B192" s="2"/>
      <c r="C192" s="2"/>
    </row>
    <row r="193" ht="15.75" customHeight="1">
      <c r="B193" s="2"/>
      <c r="C193" s="2"/>
    </row>
    <row r="194" ht="15.75" customHeight="1">
      <c r="B194" s="2"/>
      <c r="C194" s="2"/>
    </row>
    <row r="195" ht="15.75" customHeight="1">
      <c r="B195" s="2"/>
      <c r="C195" s="2"/>
    </row>
    <row r="196" ht="15.75" customHeight="1">
      <c r="B196" s="2"/>
      <c r="C196" s="2"/>
    </row>
    <row r="197" ht="15.75" customHeight="1">
      <c r="B197" s="2"/>
      <c r="C197" s="2"/>
    </row>
    <row r="198" ht="15.75" customHeight="1">
      <c r="B198" s="2"/>
      <c r="C198" s="2"/>
    </row>
    <row r="199" ht="15.75" customHeight="1">
      <c r="B199" s="2"/>
      <c r="C199" s="2"/>
    </row>
    <row r="200" ht="15.75" customHeight="1">
      <c r="B200" s="2"/>
      <c r="C200" s="2"/>
    </row>
    <row r="201" ht="15.75" customHeight="1">
      <c r="B201" s="2"/>
      <c r="C201" s="2"/>
    </row>
    <row r="202" ht="15.75" customHeight="1">
      <c r="B202" s="2"/>
      <c r="C202" s="2"/>
    </row>
    <row r="203" ht="15.75" customHeight="1">
      <c r="B203" s="2"/>
      <c r="C203" s="2"/>
    </row>
    <row r="204" ht="15.75" customHeight="1">
      <c r="B204" s="2"/>
      <c r="C204" s="2"/>
    </row>
    <row r="205" ht="15.75" customHeight="1">
      <c r="B205" s="2"/>
      <c r="C205" s="2"/>
    </row>
    <row r="206" ht="15.75" customHeight="1">
      <c r="B206" s="2"/>
      <c r="C206" s="2"/>
    </row>
    <row r="207" ht="15.75" customHeight="1">
      <c r="B207" s="2"/>
      <c r="C207" s="2"/>
    </row>
    <row r="208" ht="15.75" customHeight="1">
      <c r="B208" s="2"/>
      <c r="C208" s="2"/>
    </row>
    <row r="209" ht="15.75" customHeight="1">
      <c r="B209" s="2"/>
      <c r="C209" s="2"/>
    </row>
    <row r="210" ht="15.75" customHeight="1">
      <c r="B210" s="2"/>
      <c r="C210" s="2"/>
    </row>
    <row r="211" ht="15.75" customHeight="1">
      <c r="B211" s="2"/>
      <c r="C211" s="2"/>
    </row>
    <row r="212" ht="15.75" customHeight="1">
      <c r="B212" s="2"/>
      <c r="C212" s="2"/>
    </row>
    <row r="213" ht="15.75" customHeight="1">
      <c r="B213" s="2"/>
      <c r="C213" s="2"/>
    </row>
    <row r="214" ht="15.75" customHeight="1">
      <c r="B214" s="2"/>
      <c r="C214" s="2"/>
    </row>
    <row r="215" ht="15.75" customHeight="1">
      <c r="B215" s="2"/>
      <c r="C215" s="2"/>
    </row>
    <row r="216" ht="15.75" customHeight="1">
      <c r="B216" s="2"/>
      <c r="C216" s="2"/>
    </row>
    <row r="217" ht="15.75" customHeight="1">
      <c r="B217" s="2"/>
      <c r="C217" s="2"/>
    </row>
    <row r="218" ht="15.75" customHeight="1">
      <c r="B218" s="2"/>
      <c r="C218" s="2"/>
    </row>
    <row r="219" ht="15.75" customHeight="1">
      <c r="B219" s="2"/>
      <c r="C219" s="2"/>
    </row>
    <row r="220" ht="15.75" customHeight="1">
      <c r="B220" s="2"/>
      <c r="C220" s="2"/>
    </row>
    <row r="221" ht="15.75" customHeight="1">
      <c r="B221" s="2"/>
      <c r="C221" s="2"/>
    </row>
    <row r="222" ht="15.75" customHeight="1">
      <c r="B222" s="2"/>
      <c r="C222" s="2"/>
    </row>
    <row r="223" ht="15.75" customHeight="1">
      <c r="B223" s="2"/>
      <c r="C223" s="2"/>
    </row>
    <row r="224" ht="15.75" customHeight="1">
      <c r="B224" s="2"/>
      <c r="C224" s="2"/>
    </row>
    <row r="225" ht="15.75" customHeight="1">
      <c r="B225" s="2"/>
      <c r="C225" s="2"/>
    </row>
    <row r="226" ht="15.75" customHeight="1">
      <c r="B226" s="2"/>
      <c r="C226" s="2"/>
    </row>
    <row r="227" ht="15.75" customHeight="1">
      <c r="B227" s="2"/>
      <c r="C227" s="2"/>
    </row>
    <row r="228" ht="15.75" customHeight="1">
      <c r="B228" s="2"/>
      <c r="C228" s="2"/>
    </row>
    <row r="229" ht="15.75" customHeight="1">
      <c r="B229" s="2"/>
      <c r="C229" s="2"/>
    </row>
    <row r="230" ht="15.75" customHeight="1">
      <c r="B230" s="2"/>
      <c r="C230" s="2"/>
    </row>
    <row r="231" ht="15.75" customHeight="1">
      <c r="B231" s="2"/>
      <c r="C231" s="2"/>
    </row>
    <row r="232" ht="15.75" customHeight="1">
      <c r="B232" s="2"/>
      <c r="C232" s="2"/>
    </row>
    <row r="233" ht="15.75" customHeight="1">
      <c r="B233" s="2"/>
      <c r="C233" s="2"/>
    </row>
    <row r="234" ht="15.75" customHeight="1">
      <c r="B234" s="2"/>
      <c r="C234" s="2"/>
    </row>
    <row r="235" ht="15.75" customHeight="1">
      <c r="B235" s="2"/>
      <c r="C235" s="2"/>
    </row>
    <row r="236" ht="15.75" customHeight="1">
      <c r="B236" s="2"/>
      <c r="C236" s="2"/>
    </row>
    <row r="237" ht="15.75" customHeight="1">
      <c r="B237" s="2"/>
      <c r="C237" s="2"/>
    </row>
    <row r="238" ht="15.75" customHeight="1">
      <c r="B238" s="2"/>
      <c r="C238" s="2"/>
    </row>
    <row r="239" ht="15.75" customHeight="1">
      <c r="B239" s="2"/>
      <c r="C239" s="2"/>
    </row>
    <row r="240" ht="15.75" customHeight="1">
      <c r="B240" s="2"/>
      <c r="C240" s="2"/>
    </row>
    <row r="241" ht="15.75" customHeight="1">
      <c r="B241" s="2"/>
      <c r="C241" s="2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9" width="14.29"/>
    <col customWidth="1" min="10" max="15" width="12.86"/>
    <col customWidth="1" min="16" max="16" width="16.43"/>
    <col customWidth="1" min="17" max="26" width="8.43"/>
  </cols>
  <sheetData>
    <row r="1">
      <c r="A1" s="2" t="s">
        <v>1</v>
      </c>
      <c r="B1" s="2" t="s">
        <v>7</v>
      </c>
      <c r="C1" s="6" t="s">
        <v>12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34</v>
      </c>
      <c r="I1" s="6" t="s">
        <v>37</v>
      </c>
      <c r="J1" s="6" t="s">
        <v>39</v>
      </c>
      <c r="K1" s="6" t="s">
        <v>41</v>
      </c>
      <c r="L1" s="6" t="s">
        <v>43</v>
      </c>
      <c r="M1" s="6" t="s">
        <v>45</v>
      </c>
      <c r="N1" s="6" t="s">
        <v>46</v>
      </c>
      <c r="O1" s="6" t="s">
        <v>47</v>
      </c>
    </row>
    <row r="2">
      <c r="A2" s="2" t="s">
        <v>48</v>
      </c>
      <c r="B2" s="15">
        <f t="shared" ref="B2:B11" si="1">SUM(C2:O2)</f>
        <v>14963735</v>
      </c>
      <c r="C2" s="19">
        <f>'2022'!B2</f>
        <v>5292735</v>
      </c>
      <c r="D2" s="19">
        <v>120000.0</v>
      </c>
      <c r="E2" s="19">
        <v>1680000.0</v>
      </c>
      <c r="F2" s="19">
        <v>915000.0</v>
      </c>
      <c r="G2" s="19">
        <f>216000</f>
        <v>216000</v>
      </c>
      <c r="H2" s="19">
        <v>260000.0</v>
      </c>
      <c r="I2" s="19">
        <v>360000.0</v>
      </c>
      <c r="J2" s="19">
        <v>1190000.0</v>
      </c>
      <c r="K2" s="19">
        <v>0.0</v>
      </c>
      <c r="L2" s="19">
        <v>480000.0</v>
      </c>
      <c r="M2" s="19">
        <v>3550000.0</v>
      </c>
      <c r="N2" s="19">
        <v>200000.0</v>
      </c>
      <c r="O2" s="19">
        <v>700000.0</v>
      </c>
      <c r="P2" s="19"/>
    </row>
    <row r="3">
      <c r="A3" s="2" t="s">
        <v>58</v>
      </c>
      <c r="B3" s="15">
        <f t="shared" si="1"/>
        <v>0</v>
      </c>
      <c r="C3" s="19">
        <f>'2022'!B3</f>
        <v>0</v>
      </c>
      <c r="D3" s="19">
        <v>0.0</v>
      </c>
      <c r="E3" s="19">
        <v>0.0</v>
      </c>
      <c r="F3" s="19">
        <v>0.0</v>
      </c>
      <c r="G3" s="19">
        <v>0.0</v>
      </c>
      <c r="H3" s="19">
        <v>0.0</v>
      </c>
      <c r="I3" s="19">
        <v>0.0</v>
      </c>
      <c r="J3" s="19">
        <v>0.0</v>
      </c>
      <c r="K3" s="19">
        <v>0.0</v>
      </c>
      <c r="L3" s="19">
        <v>0.0</v>
      </c>
      <c r="M3" s="19">
        <v>0.0</v>
      </c>
      <c r="N3" s="19">
        <v>0.0</v>
      </c>
      <c r="O3" s="19">
        <v>0.0</v>
      </c>
    </row>
    <row r="4">
      <c r="A4" s="2" t="s">
        <v>60</v>
      </c>
      <c r="B4" s="15">
        <f t="shared" si="1"/>
        <v>14963735</v>
      </c>
      <c r="C4" s="15">
        <f>'2022'!B4</f>
        <v>5292735</v>
      </c>
      <c r="D4" s="15">
        <f t="shared" ref="D4:O4" si="2">D2-D3</f>
        <v>120000</v>
      </c>
      <c r="E4" s="15">
        <f t="shared" si="2"/>
        <v>1680000</v>
      </c>
      <c r="F4" s="15">
        <f t="shared" si="2"/>
        <v>915000</v>
      </c>
      <c r="G4" s="15">
        <f t="shared" si="2"/>
        <v>216000</v>
      </c>
      <c r="H4" s="15">
        <f t="shared" si="2"/>
        <v>260000</v>
      </c>
      <c r="I4" s="15">
        <f t="shared" si="2"/>
        <v>360000</v>
      </c>
      <c r="J4" s="15">
        <f t="shared" si="2"/>
        <v>1190000</v>
      </c>
      <c r="K4" s="15">
        <f t="shared" si="2"/>
        <v>0</v>
      </c>
      <c r="L4" s="15">
        <f t="shared" si="2"/>
        <v>480000</v>
      </c>
      <c r="M4" s="15">
        <f t="shared" si="2"/>
        <v>3550000</v>
      </c>
      <c r="N4" s="15">
        <f t="shared" si="2"/>
        <v>200000</v>
      </c>
      <c r="O4" s="15">
        <f t="shared" si="2"/>
        <v>700000</v>
      </c>
    </row>
    <row r="5">
      <c r="B5" s="15">
        <f t="shared" si="1"/>
        <v>0</v>
      </c>
      <c r="C5" s="19"/>
    </row>
    <row r="6">
      <c r="A6" s="2" t="s">
        <v>67</v>
      </c>
      <c r="B6" s="15">
        <f t="shared" si="1"/>
        <v>1.2</v>
      </c>
      <c r="C6" s="15" t="str">
        <f>'2022'!B6</f>
        <v/>
      </c>
      <c r="D6" s="29">
        <v>0.1</v>
      </c>
      <c r="E6" s="29">
        <v>0.1</v>
      </c>
      <c r="F6" s="29">
        <v>0.1</v>
      </c>
      <c r="G6" s="29">
        <v>0.1</v>
      </c>
      <c r="H6" s="29">
        <v>0.1</v>
      </c>
      <c r="I6" s="29">
        <v>0.1</v>
      </c>
      <c r="J6" s="29">
        <v>0.1</v>
      </c>
      <c r="K6" s="29">
        <v>0.1</v>
      </c>
      <c r="L6" s="29">
        <v>0.1</v>
      </c>
      <c r="M6" s="29">
        <v>0.1</v>
      </c>
      <c r="N6" s="29">
        <v>0.1</v>
      </c>
      <c r="O6" s="29">
        <v>0.1</v>
      </c>
    </row>
    <row r="7">
      <c r="A7" s="2" t="s">
        <v>70</v>
      </c>
      <c r="B7" s="15">
        <f t="shared" si="1"/>
        <v>1360339.545</v>
      </c>
      <c r="C7" s="19">
        <f>'2022'!B7</f>
        <v>481157.7273</v>
      </c>
      <c r="D7" s="19">
        <f t="shared" ref="D7:O7" si="3">D2/11</f>
        <v>10909.09091</v>
      </c>
      <c r="E7" s="19">
        <f t="shared" si="3"/>
        <v>152727.2727</v>
      </c>
      <c r="F7" s="19">
        <f t="shared" si="3"/>
        <v>83181.81818</v>
      </c>
      <c r="G7" s="19">
        <f t="shared" si="3"/>
        <v>19636.36364</v>
      </c>
      <c r="H7" s="19">
        <f t="shared" si="3"/>
        <v>23636.36364</v>
      </c>
      <c r="I7" s="19">
        <f t="shared" si="3"/>
        <v>32727.27273</v>
      </c>
      <c r="J7" s="19">
        <f t="shared" si="3"/>
        <v>108181.8182</v>
      </c>
      <c r="K7" s="19">
        <f t="shared" si="3"/>
        <v>0</v>
      </c>
      <c r="L7" s="19">
        <f t="shared" si="3"/>
        <v>43636.36364</v>
      </c>
      <c r="M7" s="19">
        <f t="shared" si="3"/>
        <v>322727.2727</v>
      </c>
      <c r="N7" s="19">
        <f t="shared" si="3"/>
        <v>18181.81818</v>
      </c>
      <c r="O7" s="19">
        <f t="shared" si="3"/>
        <v>63636.36364</v>
      </c>
    </row>
    <row r="8">
      <c r="A8" s="2" t="s">
        <v>75</v>
      </c>
      <c r="B8" s="15">
        <f t="shared" si="1"/>
        <v>1450000</v>
      </c>
      <c r="C8" s="19">
        <f>'2022'!B8</f>
        <v>510000</v>
      </c>
      <c r="D8" s="19">
        <f t="shared" ref="D8:O8" si="4">_xlfn.CEILING.MATH(D7, 10000)</f>
        <v>20000</v>
      </c>
      <c r="E8" s="19">
        <f t="shared" si="4"/>
        <v>160000</v>
      </c>
      <c r="F8" s="19">
        <f t="shared" si="4"/>
        <v>90000</v>
      </c>
      <c r="G8" s="19">
        <f t="shared" si="4"/>
        <v>20000</v>
      </c>
      <c r="H8" s="19">
        <f t="shared" si="4"/>
        <v>30000</v>
      </c>
      <c r="I8" s="19">
        <f t="shared" si="4"/>
        <v>40000</v>
      </c>
      <c r="J8" s="19">
        <f t="shared" si="4"/>
        <v>110000</v>
      </c>
      <c r="K8" s="19">
        <f t="shared" si="4"/>
        <v>0</v>
      </c>
      <c r="L8" s="19">
        <f t="shared" si="4"/>
        <v>50000</v>
      </c>
      <c r="M8" s="19">
        <f t="shared" si="4"/>
        <v>330000</v>
      </c>
      <c r="N8" s="19">
        <f t="shared" si="4"/>
        <v>20000</v>
      </c>
      <c r="O8" s="19">
        <f t="shared" si="4"/>
        <v>70000</v>
      </c>
    </row>
    <row r="9">
      <c r="A9" s="44" t="s">
        <v>82</v>
      </c>
      <c r="B9" s="15">
        <f t="shared" si="1"/>
        <v>1450000</v>
      </c>
      <c r="C9" s="19">
        <f>'2022'!B9</f>
        <v>510000</v>
      </c>
      <c r="D9" s="15">
        <f t="shared" ref="D9:O9" si="5">D8</f>
        <v>20000</v>
      </c>
      <c r="E9" s="15">
        <f t="shared" si="5"/>
        <v>160000</v>
      </c>
      <c r="F9" s="15">
        <f t="shared" si="5"/>
        <v>90000</v>
      </c>
      <c r="G9" s="15">
        <f t="shared" si="5"/>
        <v>20000</v>
      </c>
      <c r="H9" s="15">
        <f t="shared" si="5"/>
        <v>30000</v>
      </c>
      <c r="I9" s="15">
        <f t="shared" si="5"/>
        <v>40000</v>
      </c>
      <c r="J9" s="15">
        <f t="shared" si="5"/>
        <v>110000</v>
      </c>
      <c r="K9" s="15">
        <f t="shared" si="5"/>
        <v>0</v>
      </c>
      <c r="L9" s="15">
        <f t="shared" si="5"/>
        <v>50000</v>
      </c>
      <c r="M9" s="15">
        <f t="shared" si="5"/>
        <v>330000</v>
      </c>
      <c r="N9" s="15">
        <f t="shared" si="5"/>
        <v>20000</v>
      </c>
      <c r="O9" s="15">
        <f t="shared" si="5"/>
        <v>70000</v>
      </c>
    </row>
    <row r="10">
      <c r="B10" s="15">
        <f t="shared" si="1"/>
        <v>0</v>
      </c>
      <c r="C10" s="19"/>
    </row>
    <row r="11">
      <c r="A11" s="2" t="s">
        <v>79</v>
      </c>
      <c r="B11" s="15">
        <f t="shared" si="1"/>
        <v>13513735</v>
      </c>
      <c r="C11" s="15">
        <f>'2022'!B11</f>
        <v>4782735</v>
      </c>
      <c r="D11" s="15">
        <f t="shared" ref="D11:O11" si="6">D4-D9</f>
        <v>100000</v>
      </c>
      <c r="E11" s="15">
        <f t="shared" si="6"/>
        <v>1520000</v>
      </c>
      <c r="F11" s="15">
        <f t="shared" si="6"/>
        <v>825000</v>
      </c>
      <c r="G11" s="15">
        <f t="shared" si="6"/>
        <v>196000</v>
      </c>
      <c r="H11" s="15">
        <f t="shared" si="6"/>
        <v>230000</v>
      </c>
      <c r="I11" s="15">
        <f t="shared" si="6"/>
        <v>320000</v>
      </c>
      <c r="J11" s="15">
        <f t="shared" si="6"/>
        <v>1080000</v>
      </c>
      <c r="K11" s="15">
        <f t="shared" si="6"/>
        <v>0</v>
      </c>
      <c r="L11" s="15">
        <f t="shared" si="6"/>
        <v>430000</v>
      </c>
      <c r="M11" s="15">
        <f t="shared" si="6"/>
        <v>3220000</v>
      </c>
      <c r="N11" s="15">
        <f t="shared" si="6"/>
        <v>180000</v>
      </c>
      <c r="O11" s="15">
        <f t="shared" si="6"/>
        <v>630000</v>
      </c>
    </row>
    <row r="12">
      <c r="A12" s="2"/>
      <c r="B12" s="15"/>
      <c r="C12" s="19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>
      <c r="A13" s="53"/>
      <c r="B13" s="54"/>
      <c r="C13" s="57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B14" s="15"/>
      <c r="C14" s="19"/>
    </row>
    <row r="15">
      <c r="A15" s="2" t="s">
        <v>81</v>
      </c>
      <c r="B15" s="15"/>
      <c r="C15" s="19"/>
    </row>
    <row r="16">
      <c r="A16" s="56" t="s">
        <v>88</v>
      </c>
      <c r="B16" s="15">
        <f t="shared" ref="B16:B24" si="9">SUM(C16:O16)</f>
        <v>704387.35</v>
      </c>
      <c r="C16" s="19">
        <f>'2022'!B14</f>
        <v>47827.35</v>
      </c>
      <c r="D16" s="19">
        <f t="shared" ref="D16:E16" si="7">D$11*0.01</f>
        <v>1000</v>
      </c>
      <c r="E16" s="19">
        <f t="shared" si="7"/>
        <v>15200</v>
      </c>
      <c r="F16" s="19">
        <f>F$11*0.7</f>
        <v>577500</v>
      </c>
      <c r="G16" s="19">
        <f t="shared" ref="G16:O16" si="8">G$11*0.01</f>
        <v>1960</v>
      </c>
      <c r="H16" s="19">
        <f t="shared" si="8"/>
        <v>2300</v>
      </c>
      <c r="I16" s="19">
        <f t="shared" si="8"/>
        <v>3200</v>
      </c>
      <c r="J16" s="19">
        <f t="shared" si="8"/>
        <v>10800</v>
      </c>
      <c r="K16" s="19">
        <f t="shared" si="8"/>
        <v>0</v>
      </c>
      <c r="L16" s="19">
        <f t="shared" si="8"/>
        <v>4300</v>
      </c>
      <c r="M16" s="19">
        <f t="shared" si="8"/>
        <v>32200</v>
      </c>
      <c r="N16" s="19">
        <f t="shared" si="8"/>
        <v>1800</v>
      </c>
      <c r="O16" s="19">
        <f t="shared" si="8"/>
        <v>6300</v>
      </c>
    </row>
    <row r="17">
      <c r="A17" s="56" t="s">
        <v>89</v>
      </c>
      <c r="B17" s="15">
        <f t="shared" si="9"/>
        <v>168137.35</v>
      </c>
      <c r="C17" s="19">
        <f>'2022'!B15</f>
        <v>47827.35</v>
      </c>
      <c r="D17" s="19">
        <f t="shared" ref="D17:E17" si="10">D$11*0.01</f>
        <v>1000</v>
      </c>
      <c r="E17" s="19">
        <f t="shared" si="10"/>
        <v>15200</v>
      </c>
      <c r="F17" s="19">
        <f>F$11*0.05</f>
        <v>41250</v>
      </c>
      <c r="G17" s="19">
        <f t="shared" ref="G17:O17" si="11">G$11*0.01</f>
        <v>1960</v>
      </c>
      <c r="H17" s="19">
        <f t="shared" si="11"/>
        <v>2300</v>
      </c>
      <c r="I17" s="19">
        <f t="shared" si="11"/>
        <v>3200</v>
      </c>
      <c r="J17" s="19">
        <f t="shared" si="11"/>
        <v>10800</v>
      </c>
      <c r="K17" s="19">
        <f t="shared" si="11"/>
        <v>0</v>
      </c>
      <c r="L17" s="19">
        <f t="shared" si="11"/>
        <v>4300</v>
      </c>
      <c r="M17" s="19">
        <f t="shared" si="11"/>
        <v>32200</v>
      </c>
      <c r="N17" s="19">
        <f t="shared" si="11"/>
        <v>1800</v>
      </c>
      <c r="O17" s="19">
        <f t="shared" si="11"/>
        <v>6300</v>
      </c>
    </row>
    <row r="18">
      <c r="A18" s="56" t="s">
        <v>90</v>
      </c>
      <c r="B18" s="15">
        <f t="shared" si="9"/>
        <v>650936.75</v>
      </c>
      <c r="C18" s="19">
        <f>'2022'!B16</f>
        <v>239136.75</v>
      </c>
      <c r="D18" s="19">
        <f t="shared" ref="D18:E18" si="12">D$11*0.05</f>
        <v>5000</v>
      </c>
      <c r="E18" s="19">
        <f t="shared" si="12"/>
        <v>76000</v>
      </c>
      <c r="F18" s="19">
        <f>F$11*0.02</f>
        <v>16500</v>
      </c>
      <c r="G18" s="19">
        <f t="shared" ref="G18:O18" si="13">G$11*0.05</f>
        <v>9800</v>
      </c>
      <c r="H18" s="19">
        <f t="shared" si="13"/>
        <v>11500</v>
      </c>
      <c r="I18" s="19">
        <f t="shared" si="13"/>
        <v>16000</v>
      </c>
      <c r="J18" s="19">
        <f t="shared" si="13"/>
        <v>54000</v>
      </c>
      <c r="K18" s="19">
        <f t="shared" si="13"/>
        <v>0</v>
      </c>
      <c r="L18" s="19">
        <f t="shared" si="13"/>
        <v>21500</v>
      </c>
      <c r="M18" s="19">
        <f t="shared" si="13"/>
        <v>161000</v>
      </c>
      <c r="N18" s="19">
        <f t="shared" si="13"/>
        <v>9000</v>
      </c>
      <c r="O18" s="19">
        <f t="shared" si="13"/>
        <v>31500</v>
      </c>
    </row>
    <row r="19">
      <c r="A19" s="56" t="s">
        <v>91</v>
      </c>
      <c r="B19" s="15">
        <f t="shared" si="9"/>
        <v>135137.35</v>
      </c>
      <c r="C19" s="19">
        <f>'2022'!B17</f>
        <v>47827.35</v>
      </c>
      <c r="D19" s="19">
        <f t="shared" ref="D19:O19" si="14">D$11*0.01</f>
        <v>1000</v>
      </c>
      <c r="E19" s="19">
        <f t="shared" si="14"/>
        <v>15200</v>
      </c>
      <c r="F19" s="19">
        <f t="shared" si="14"/>
        <v>8250</v>
      </c>
      <c r="G19" s="19">
        <f t="shared" si="14"/>
        <v>1960</v>
      </c>
      <c r="H19" s="19">
        <f t="shared" si="14"/>
        <v>2300</v>
      </c>
      <c r="I19" s="19">
        <f t="shared" si="14"/>
        <v>3200</v>
      </c>
      <c r="J19" s="19">
        <f t="shared" si="14"/>
        <v>10800</v>
      </c>
      <c r="K19" s="19">
        <f t="shared" si="14"/>
        <v>0</v>
      </c>
      <c r="L19" s="19">
        <f t="shared" si="14"/>
        <v>4300</v>
      </c>
      <c r="M19" s="19">
        <f t="shared" si="14"/>
        <v>32200</v>
      </c>
      <c r="N19" s="19">
        <f t="shared" si="14"/>
        <v>1800</v>
      </c>
      <c r="O19" s="19">
        <f t="shared" si="14"/>
        <v>6300</v>
      </c>
    </row>
    <row r="20">
      <c r="A20" s="56" t="s">
        <v>92</v>
      </c>
      <c r="B20" s="15">
        <f t="shared" si="9"/>
        <v>1351373.5</v>
      </c>
      <c r="C20" s="19">
        <f>'2022'!B18</f>
        <v>478273.5</v>
      </c>
      <c r="D20" s="19">
        <f t="shared" ref="D20:O20" si="15">D$11*0.1</f>
        <v>10000</v>
      </c>
      <c r="E20" s="19">
        <f t="shared" si="15"/>
        <v>152000</v>
      </c>
      <c r="F20" s="19">
        <f t="shared" si="15"/>
        <v>82500</v>
      </c>
      <c r="G20" s="19">
        <f t="shared" si="15"/>
        <v>19600</v>
      </c>
      <c r="H20" s="19">
        <f t="shared" si="15"/>
        <v>23000</v>
      </c>
      <c r="I20" s="19">
        <f t="shared" si="15"/>
        <v>32000</v>
      </c>
      <c r="J20" s="19">
        <f t="shared" si="15"/>
        <v>108000</v>
      </c>
      <c r="K20" s="19">
        <f t="shared" si="15"/>
        <v>0</v>
      </c>
      <c r="L20" s="19">
        <f t="shared" si="15"/>
        <v>43000</v>
      </c>
      <c r="M20" s="19">
        <f t="shared" si="15"/>
        <v>322000</v>
      </c>
      <c r="N20" s="19">
        <f t="shared" si="15"/>
        <v>18000</v>
      </c>
      <c r="O20" s="19">
        <f t="shared" si="15"/>
        <v>63000</v>
      </c>
    </row>
    <row r="21" ht="15.75" customHeight="1">
      <c r="A21" s="56" t="s">
        <v>93</v>
      </c>
      <c r="B21" s="15">
        <f t="shared" si="9"/>
        <v>650936.75</v>
      </c>
      <c r="C21" s="19">
        <f>'2022'!B19</f>
        <v>239136.75</v>
      </c>
      <c r="D21" s="19">
        <f t="shared" ref="D21:E21" si="16">D$11*0.05</f>
        <v>5000</v>
      </c>
      <c r="E21" s="19">
        <f t="shared" si="16"/>
        <v>76000</v>
      </c>
      <c r="F21" s="19">
        <f>F$11*0.02</f>
        <v>16500</v>
      </c>
      <c r="G21" s="19">
        <f t="shared" ref="G21:O21" si="17">G$11*0.05</f>
        <v>9800</v>
      </c>
      <c r="H21" s="19">
        <f t="shared" si="17"/>
        <v>11500</v>
      </c>
      <c r="I21" s="19">
        <f t="shared" si="17"/>
        <v>16000</v>
      </c>
      <c r="J21" s="19">
        <f t="shared" si="17"/>
        <v>54000</v>
      </c>
      <c r="K21" s="19">
        <f t="shared" si="17"/>
        <v>0</v>
      </c>
      <c r="L21" s="19">
        <f t="shared" si="17"/>
        <v>21500</v>
      </c>
      <c r="M21" s="19">
        <f t="shared" si="17"/>
        <v>161000</v>
      </c>
      <c r="N21" s="19">
        <f t="shared" si="17"/>
        <v>9000</v>
      </c>
      <c r="O21" s="19">
        <f t="shared" si="17"/>
        <v>31500</v>
      </c>
    </row>
    <row r="22" ht="15.75" customHeight="1">
      <c r="A22" s="56" t="s">
        <v>94</v>
      </c>
      <c r="B22" s="15">
        <f t="shared" si="9"/>
        <v>1217625.5</v>
      </c>
      <c r="C22" s="19">
        <f>'2022'!B20</f>
        <v>385775.5</v>
      </c>
      <c r="D22" s="19">
        <f t="shared" ref="D22:E22" si="18">D$11*0.1</f>
        <v>10000</v>
      </c>
      <c r="E22" s="19">
        <f t="shared" si="18"/>
        <v>152000</v>
      </c>
      <c r="F22" s="19">
        <f>F$11*0.05</f>
        <v>41250</v>
      </c>
      <c r="G22" s="19">
        <f t="shared" ref="G22:O22" si="19">G$11*0.1</f>
        <v>19600</v>
      </c>
      <c r="H22" s="19">
        <f t="shared" si="19"/>
        <v>23000</v>
      </c>
      <c r="I22" s="19">
        <f t="shared" si="19"/>
        <v>32000</v>
      </c>
      <c r="J22" s="19">
        <f t="shared" si="19"/>
        <v>108000</v>
      </c>
      <c r="K22" s="19">
        <f t="shared" si="19"/>
        <v>0</v>
      </c>
      <c r="L22" s="19">
        <f t="shared" si="19"/>
        <v>43000</v>
      </c>
      <c r="M22" s="19">
        <f t="shared" si="19"/>
        <v>322000</v>
      </c>
      <c r="N22" s="19">
        <f t="shared" si="19"/>
        <v>18000</v>
      </c>
      <c r="O22" s="19">
        <f t="shared" si="19"/>
        <v>63000</v>
      </c>
    </row>
    <row r="23" ht="15.75" customHeight="1">
      <c r="A23" s="56" t="s">
        <v>95</v>
      </c>
      <c r="B23" s="15">
        <f t="shared" si="9"/>
        <v>1285373.5</v>
      </c>
      <c r="C23" s="19">
        <f>'2022'!B21</f>
        <v>478273.5</v>
      </c>
      <c r="D23" s="19">
        <f t="shared" ref="D23:E23" si="20">D$11*0.1</f>
        <v>10000</v>
      </c>
      <c r="E23" s="19">
        <f t="shared" si="20"/>
        <v>152000</v>
      </c>
      <c r="F23" s="19">
        <f>F$11*0.02</f>
        <v>16500</v>
      </c>
      <c r="G23" s="19">
        <f t="shared" ref="G23:O23" si="21">G$11*0.1</f>
        <v>19600</v>
      </c>
      <c r="H23" s="19">
        <f t="shared" si="21"/>
        <v>23000</v>
      </c>
      <c r="I23" s="19">
        <f t="shared" si="21"/>
        <v>32000</v>
      </c>
      <c r="J23" s="19">
        <f t="shared" si="21"/>
        <v>108000</v>
      </c>
      <c r="K23" s="19">
        <f t="shared" si="21"/>
        <v>0</v>
      </c>
      <c r="L23" s="19">
        <f t="shared" si="21"/>
        <v>43000</v>
      </c>
      <c r="M23" s="19">
        <f t="shared" si="21"/>
        <v>322000</v>
      </c>
      <c r="N23" s="19">
        <f t="shared" si="21"/>
        <v>18000</v>
      </c>
      <c r="O23" s="19">
        <f t="shared" si="21"/>
        <v>63000</v>
      </c>
    </row>
    <row r="24" ht="15.75" customHeight="1">
      <c r="A24" s="44" t="s">
        <v>105</v>
      </c>
      <c r="B24" s="15">
        <f t="shared" si="9"/>
        <v>6163908.05</v>
      </c>
      <c r="C24" s="15">
        <f>'2022'!B22</f>
        <v>1964078.05</v>
      </c>
      <c r="D24" s="15">
        <f t="shared" ref="D24:O24" si="22">SUM(D16:D23)</f>
        <v>43000</v>
      </c>
      <c r="E24" s="15">
        <f t="shared" si="22"/>
        <v>653600</v>
      </c>
      <c r="F24" s="15">
        <f t="shared" si="22"/>
        <v>800250</v>
      </c>
      <c r="G24" s="15">
        <f t="shared" si="22"/>
        <v>84280</v>
      </c>
      <c r="H24" s="15">
        <f t="shared" si="22"/>
        <v>98900</v>
      </c>
      <c r="I24" s="15">
        <f t="shared" si="22"/>
        <v>137600</v>
      </c>
      <c r="J24" s="15">
        <f t="shared" si="22"/>
        <v>464400</v>
      </c>
      <c r="K24" s="15">
        <f t="shared" si="22"/>
        <v>0</v>
      </c>
      <c r="L24" s="15">
        <f t="shared" si="22"/>
        <v>184900</v>
      </c>
      <c r="M24" s="15">
        <f t="shared" si="22"/>
        <v>1384600</v>
      </c>
      <c r="N24" s="15">
        <f t="shared" si="22"/>
        <v>77400</v>
      </c>
      <c r="O24" s="15">
        <f t="shared" si="22"/>
        <v>270900</v>
      </c>
    </row>
    <row r="25" ht="15.75" customHeight="1">
      <c r="A25" s="2"/>
      <c r="B25" s="15"/>
      <c r="C25" s="19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ht="15.75" customHeight="1">
      <c r="A26" s="53"/>
      <c r="B26" s="54"/>
      <c r="C26" s="57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B27" s="15"/>
      <c r="C27" s="19"/>
    </row>
    <row r="28" ht="15.75" customHeight="1">
      <c r="A28" s="44" t="s">
        <v>107</v>
      </c>
      <c r="B28" s="15">
        <f>SUM(C28:O28)</f>
        <v>7349826.95</v>
      </c>
      <c r="C28" s="15">
        <f>'2022'!B24</f>
        <v>2818656.95</v>
      </c>
      <c r="D28" s="15">
        <f t="shared" ref="D28:O28" si="23">D11-D24</f>
        <v>57000</v>
      </c>
      <c r="E28" s="15">
        <f t="shared" si="23"/>
        <v>866400</v>
      </c>
      <c r="F28" s="15">
        <f t="shared" si="23"/>
        <v>24750</v>
      </c>
      <c r="G28" s="15">
        <f t="shared" si="23"/>
        <v>111720</v>
      </c>
      <c r="H28" s="15">
        <f t="shared" si="23"/>
        <v>131100</v>
      </c>
      <c r="I28" s="15">
        <f t="shared" si="23"/>
        <v>182400</v>
      </c>
      <c r="J28" s="15">
        <f t="shared" si="23"/>
        <v>615600</v>
      </c>
      <c r="K28" s="15">
        <f t="shared" si="23"/>
        <v>0</v>
      </c>
      <c r="L28" s="15">
        <f t="shared" si="23"/>
        <v>245100</v>
      </c>
      <c r="M28" s="15">
        <f t="shared" si="23"/>
        <v>1835400</v>
      </c>
      <c r="N28" s="15">
        <f t="shared" si="23"/>
        <v>102600</v>
      </c>
      <c r="O28" s="15">
        <f t="shared" si="23"/>
        <v>359100</v>
      </c>
    </row>
    <row r="29" ht="15.75" customHeight="1">
      <c r="B29" s="2"/>
      <c r="C29" s="2"/>
    </row>
    <row r="30" ht="15.75" customHeight="1">
      <c r="B30" s="2"/>
      <c r="C30" s="2"/>
    </row>
    <row r="31" ht="15.75" customHeight="1">
      <c r="B31" s="2"/>
      <c r="C31" s="2"/>
    </row>
    <row r="32" ht="15.75" customHeight="1">
      <c r="B32" s="2"/>
      <c r="C32" s="2"/>
    </row>
    <row r="33" ht="15.75" customHeight="1">
      <c r="B33" s="2"/>
      <c r="C33" s="2"/>
    </row>
    <row r="34" ht="15.75" customHeight="1">
      <c r="B34" s="2"/>
      <c r="C34" s="2"/>
    </row>
    <row r="35" ht="15.75" customHeight="1">
      <c r="B35" s="2"/>
      <c r="C35" s="2"/>
    </row>
    <row r="36" ht="15.75" customHeight="1">
      <c r="B36" s="2"/>
      <c r="C36" s="2"/>
    </row>
    <row r="37" ht="15.75" customHeight="1">
      <c r="B37" s="2"/>
      <c r="C37" s="2"/>
    </row>
    <row r="38" ht="15.75" customHeight="1">
      <c r="B38" s="2"/>
      <c r="C38" s="2"/>
    </row>
    <row r="39" ht="15.75" customHeight="1">
      <c r="B39" s="2"/>
      <c r="C39" s="2"/>
    </row>
    <row r="40" ht="15.75" customHeight="1">
      <c r="B40" s="2"/>
      <c r="C40" s="2"/>
    </row>
    <row r="41" ht="15.75" customHeight="1">
      <c r="B41" s="2"/>
      <c r="C41" s="2"/>
    </row>
    <row r="42" ht="15.75" customHeight="1">
      <c r="B42" s="2"/>
      <c r="C42" s="2"/>
    </row>
    <row r="43" ht="15.75" customHeight="1">
      <c r="B43" s="2"/>
      <c r="C43" s="2"/>
    </row>
    <row r="44" ht="15.75" customHeight="1">
      <c r="B44" s="2"/>
      <c r="C44" s="2"/>
    </row>
    <row r="45" ht="15.75" customHeight="1">
      <c r="B45" s="2"/>
      <c r="C45" s="2"/>
    </row>
    <row r="46" ht="15.75" customHeight="1">
      <c r="B46" s="2"/>
      <c r="C46" s="2"/>
    </row>
    <row r="47" ht="15.75" customHeight="1">
      <c r="B47" s="2"/>
      <c r="C47" s="2"/>
    </row>
    <row r="48" ht="15.75" customHeight="1">
      <c r="B48" s="2"/>
      <c r="C48" s="2"/>
    </row>
    <row r="49" ht="15.75" customHeight="1">
      <c r="B49" s="2"/>
      <c r="C49" s="2"/>
    </row>
    <row r="50" ht="15.75" customHeight="1">
      <c r="B50" s="2"/>
      <c r="C50" s="2"/>
    </row>
    <row r="51" ht="15.75" customHeight="1">
      <c r="B51" s="2"/>
      <c r="C51" s="2"/>
    </row>
    <row r="52" ht="15.75" customHeight="1">
      <c r="B52" s="2"/>
      <c r="C52" s="2"/>
    </row>
    <row r="53" ht="15.75" customHeight="1">
      <c r="B53" s="2"/>
      <c r="C53" s="2"/>
    </row>
    <row r="54" ht="15.75" customHeight="1">
      <c r="B54" s="2"/>
      <c r="C54" s="2"/>
    </row>
    <row r="55" ht="15.75" customHeight="1">
      <c r="B55" s="2"/>
      <c r="C55" s="2"/>
    </row>
    <row r="56" ht="15.75" customHeight="1">
      <c r="B56" s="2"/>
      <c r="C56" s="2"/>
    </row>
    <row r="57" ht="15.75" customHeight="1">
      <c r="B57" s="2"/>
      <c r="C57" s="2"/>
    </row>
    <row r="58" ht="15.75" customHeight="1">
      <c r="B58" s="2"/>
      <c r="C58" s="2"/>
    </row>
    <row r="59" ht="15.75" customHeight="1">
      <c r="B59" s="2"/>
      <c r="C59" s="2"/>
    </row>
    <row r="60" ht="15.75" customHeight="1">
      <c r="B60" s="2"/>
      <c r="C60" s="2"/>
    </row>
    <row r="61" ht="15.75" customHeight="1">
      <c r="B61" s="2"/>
      <c r="C61" s="2"/>
    </row>
    <row r="62" ht="15.75" customHeight="1">
      <c r="B62" s="2"/>
      <c r="C62" s="2"/>
    </row>
    <row r="63" ht="15.75" customHeight="1">
      <c r="B63" s="2"/>
      <c r="C63" s="2"/>
    </row>
    <row r="64" ht="15.75" customHeight="1">
      <c r="B64" s="2"/>
      <c r="C64" s="2"/>
    </row>
    <row r="65" ht="15.75" customHeight="1">
      <c r="B65" s="2"/>
      <c r="C65" s="2"/>
    </row>
    <row r="66" ht="15.75" customHeight="1">
      <c r="B66" s="2"/>
      <c r="C66" s="2"/>
    </row>
    <row r="67" ht="15.75" customHeight="1">
      <c r="B67" s="2"/>
      <c r="C67" s="2"/>
    </row>
    <row r="68" ht="15.75" customHeight="1">
      <c r="B68" s="2"/>
      <c r="C68" s="2"/>
    </row>
    <row r="69" ht="15.75" customHeight="1">
      <c r="B69" s="2"/>
      <c r="C69" s="2"/>
    </row>
    <row r="70" ht="15.75" customHeight="1">
      <c r="B70" s="2"/>
      <c r="C70" s="2"/>
    </row>
    <row r="71" ht="15.75" customHeight="1">
      <c r="B71" s="2"/>
      <c r="C71" s="2"/>
    </row>
    <row r="72" ht="15.75" customHeight="1">
      <c r="B72" s="2"/>
      <c r="C72" s="2"/>
    </row>
    <row r="73" ht="15.75" customHeight="1">
      <c r="B73" s="2"/>
      <c r="C73" s="2"/>
    </row>
    <row r="74" ht="15.75" customHeight="1">
      <c r="B74" s="2"/>
      <c r="C74" s="2"/>
    </row>
    <row r="75" ht="15.75" customHeight="1">
      <c r="B75" s="2"/>
      <c r="C75" s="2"/>
    </row>
    <row r="76" ht="15.75" customHeight="1">
      <c r="B76" s="2"/>
      <c r="C76" s="2"/>
    </row>
    <row r="77" ht="15.75" customHeight="1">
      <c r="B77" s="2"/>
      <c r="C77" s="2"/>
    </row>
    <row r="78" ht="15.75" customHeight="1">
      <c r="B78" s="2"/>
      <c r="C78" s="2"/>
    </row>
    <row r="79" ht="15.75" customHeight="1">
      <c r="B79" s="2"/>
      <c r="C79" s="2"/>
    </row>
    <row r="80" ht="15.75" customHeight="1">
      <c r="B80" s="2"/>
      <c r="C80" s="2"/>
    </row>
    <row r="81" ht="15.75" customHeight="1">
      <c r="B81" s="2"/>
      <c r="C81" s="2"/>
    </row>
    <row r="82" ht="15.75" customHeight="1">
      <c r="B82" s="2"/>
      <c r="C82" s="2"/>
    </row>
    <row r="83" ht="15.75" customHeight="1">
      <c r="B83" s="2"/>
      <c r="C83" s="2"/>
    </row>
    <row r="84" ht="15.75" customHeight="1">
      <c r="B84" s="2"/>
      <c r="C84" s="2"/>
    </row>
    <row r="85" ht="15.75" customHeight="1">
      <c r="B85" s="2"/>
      <c r="C85" s="2"/>
    </row>
    <row r="86" ht="15.75" customHeight="1">
      <c r="B86" s="2"/>
      <c r="C86" s="2"/>
    </row>
    <row r="87" ht="15.75" customHeight="1">
      <c r="B87" s="2"/>
      <c r="C87" s="2"/>
    </row>
    <row r="88" ht="15.75" customHeight="1">
      <c r="B88" s="2"/>
      <c r="C88" s="2"/>
    </row>
    <row r="89" ht="15.75" customHeight="1">
      <c r="B89" s="2"/>
      <c r="C89" s="2"/>
    </row>
    <row r="90" ht="15.75" customHeight="1">
      <c r="B90" s="2"/>
      <c r="C90" s="2"/>
    </row>
    <row r="91" ht="15.75" customHeight="1">
      <c r="B91" s="2"/>
      <c r="C91" s="2"/>
    </row>
    <row r="92" ht="15.75" customHeight="1">
      <c r="B92" s="2"/>
      <c r="C92" s="2"/>
    </row>
    <row r="93" ht="15.75" customHeight="1">
      <c r="B93" s="2"/>
      <c r="C93" s="2"/>
    </row>
    <row r="94" ht="15.75" customHeight="1">
      <c r="B94" s="2"/>
      <c r="C94" s="2"/>
    </row>
    <row r="95" ht="15.75" customHeight="1">
      <c r="B95" s="2"/>
      <c r="C95" s="2"/>
    </row>
    <row r="96" ht="15.75" customHeight="1">
      <c r="B96" s="2"/>
      <c r="C96" s="2"/>
    </row>
    <row r="97" ht="15.75" customHeight="1">
      <c r="B97" s="2"/>
      <c r="C97" s="2"/>
    </row>
    <row r="98" ht="15.75" customHeight="1">
      <c r="B98" s="2"/>
      <c r="C98" s="2"/>
    </row>
    <row r="99" ht="15.75" customHeight="1">
      <c r="B99" s="2"/>
      <c r="C99" s="2"/>
    </row>
    <row r="100" ht="15.75" customHeight="1">
      <c r="B100" s="2"/>
      <c r="C100" s="2"/>
    </row>
    <row r="101" ht="15.75" customHeight="1">
      <c r="B101" s="2"/>
      <c r="C101" s="2"/>
    </row>
    <row r="102" ht="15.75" customHeight="1">
      <c r="B102" s="2"/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  <c r="C141" s="2"/>
    </row>
    <row r="142" ht="15.75" customHeight="1">
      <c r="B142" s="2"/>
      <c r="C142" s="2"/>
    </row>
    <row r="143" ht="15.75" customHeight="1">
      <c r="B143" s="2"/>
      <c r="C143" s="2"/>
    </row>
    <row r="144" ht="15.75" customHeight="1">
      <c r="B144" s="2"/>
      <c r="C144" s="2"/>
    </row>
    <row r="145" ht="15.75" customHeight="1">
      <c r="B145" s="2"/>
      <c r="C145" s="2"/>
    </row>
    <row r="146" ht="15.75" customHeight="1">
      <c r="B146" s="2"/>
      <c r="C146" s="2"/>
    </row>
    <row r="147" ht="15.75" customHeight="1">
      <c r="B147" s="2"/>
      <c r="C147" s="2"/>
    </row>
    <row r="148" ht="15.75" customHeight="1">
      <c r="B148" s="2"/>
      <c r="C148" s="2"/>
    </row>
    <row r="149" ht="15.75" customHeight="1">
      <c r="B149" s="2"/>
      <c r="C149" s="2"/>
    </row>
    <row r="150" ht="15.75" customHeight="1">
      <c r="B150" s="2"/>
      <c r="C150" s="2"/>
    </row>
    <row r="151" ht="15.75" customHeight="1">
      <c r="B151" s="2"/>
      <c r="C151" s="2"/>
    </row>
    <row r="152" ht="15.75" customHeight="1">
      <c r="B152" s="2"/>
      <c r="C152" s="2"/>
    </row>
    <row r="153" ht="15.75" customHeight="1">
      <c r="B153" s="2"/>
      <c r="C153" s="2"/>
    </row>
    <row r="154" ht="15.75" customHeight="1">
      <c r="B154" s="2"/>
      <c r="C154" s="2"/>
    </row>
    <row r="155" ht="15.75" customHeight="1">
      <c r="B155" s="2"/>
      <c r="C155" s="2"/>
    </row>
    <row r="156" ht="15.75" customHeight="1">
      <c r="B156" s="2"/>
      <c r="C156" s="2"/>
    </row>
    <row r="157" ht="15.75" customHeight="1">
      <c r="B157" s="2"/>
      <c r="C157" s="2"/>
    </row>
    <row r="158" ht="15.75" customHeight="1">
      <c r="B158" s="2"/>
      <c r="C158" s="2"/>
    </row>
    <row r="159" ht="15.75" customHeight="1">
      <c r="B159" s="2"/>
      <c r="C159" s="2"/>
    </row>
    <row r="160" ht="15.75" customHeight="1">
      <c r="B160" s="2"/>
      <c r="C160" s="2"/>
    </row>
    <row r="161" ht="15.75" customHeight="1">
      <c r="B161" s="2"/>
      <c r="C161" s="2"/>
    </row>
    <row r="162" ht="15.75" customHeight="1">
      <c r="B162" s="2"/>
      <c r="C162" s="2"/>
    </row>
    <row r="163" ht="15.75" customHeight="1">
      <c r="B163" s="2"/>
      <c r="C163" s="2"/>
    </row>
    <row r="164" ht="15.75" customHeight="1">
      <c r="B164" s="2"/>
      <c r="C164" s="2"/>
    </row>
    <row r="165" ht="15.75" customHeight="1">
      <c r="B165" s="2"/>
      <c r="C165" s="2"/>
    </row>
    <row r="166" ht="15.75" customHeight="1">
      <c r="B166" s="2"/>
      <c r="C166" s="2"/>
    </row>
    <row r="167" ht="15.75" customHeight="1">
      <c r="B167" s="2"/>
      <c r="C167" s="2"/>
    </row>
    <row r="168" ht="15.75" customHeight="1">
      <c r="B168" s="2"/>
      <c r="C168" s="2"/>
    </row>
    <row r="169" ht="15.75" customHeight="1">
      <c r="B169" s="2"/>
      <c r="C169" s="2"/>
    </row>
    <row r="170" ht="15.75" customHeight="1">
      <c r="B170" s="2"/>
      <c r="C170" s="2"/>
    </row>
    <row r="171" ht="15.75" customHeight="1">
      <c r="B171" s="2"/>
      <c r="C171" s="2"/>
    </row>
    <row r="172" ht="15.75" customHeight="1">
      <c r="B172" s="2"/>
      <c r="C172" s="2"/>
    </row>
    <row r="173" ht="15.75" customHeight="1">
      <c r="B173" s="2"/>
      <c r="C173" s="2"/>
    </row>
    <row r="174" ht="15.75" customHeight="1">
      <c r="B174" s="2"/>
      <c r="C174" s="2"/>
    </row>
    <row r="175" ht="15.75" customHeight="1">
      <c r="B175" s="2"/>
      <c r="C175" s="2"/>
    </row>
    <row r="176" ht="15.75" customHeight="1">
      <c r="B176" s="2"/>
      <c r="C176" s="2"/>
    </row>
    <row r="177" ht="15.75" customHeight="1">
      <c r="B177" s="2"/>
      <c r="C177" s="2"/>
    </row>
    <row r="178" ht="15.75" customHeight="1">
      <c r="B178" s="2"/>
      <c r="C178" s="2"/>
    </row>
    <row r="179" ht="15.75" customHeight="1">
      <c r="B179" s="2"/>
      <c r="C179" s="2"/>
    </row>
    <row r="180" ht="15.75" customHeight="1">
      <c r="B180" s="2"/>
      <c r="C180" s="2"/>
    </row>
    <row r="181" ht="15.75" customHeight="1">
      <c r="B181" s="2"/>
      <c r="C181" s="2"/>
    </row>
    <row r="182" ht="15.75" customHeight="1">
      <c r="B182" s="2"/>
      <c r="C182" s="2"/>
    </row>
    <row r="183" ht="15.75" customHeight="1">
      <c r="B183" s="2"/>
      <c r="C183" s="2"/>
    </row>
    <row r="184" ht="15.75" customHeight="1">
      <c r="B184" s="2"/>
      <c r="C184" s="2"/>
    </row>
    <row r="185" ht="15.75" customHeight="1">
      <c r="B185" s="2"/>
      <c r="C185" s="2"/>
    </row>
    <row r="186" ht="15.75" customHeight="1">
      <c r="B186" s="2"/>
      <c r="C186" s="2"/>
    </row>
    <row r="187" ht="15.75" customHeight="1">
      <c r="B187" s="2"/>
      <c r="C187" s="2"/>
    </row>
    <row r="188" ht="15.75" customHeight="1">
      <c r="B188" s="2"/>
      <c r="C188" s="2"/>
    </row>
    <row r="189" ht="15.75" customHeight="1">
      <c r="B189" s="2"/>
      <c r="C189" s="2"/>
    </row>
    <row r="190" ht="15.75" customHeight="1">
      <c r="B190" s="2"/>
      <c r="C190" s="2"/>
    </row>
    <row r="191" ht="15.75" customHeight="1">
      <c r="B191" s="2"/>
      <c r="C191" s="2"/>
    </row>
    <row r="192" ht="15.75" customHeight="1">
      <c r="B192" s="2"/>
      <c r="C192" s="2"/>
    </row>
    <row r="193" ht="15.75" customHeight="1">
      <c r="B193" s="2"/>
      <c r="C193" s="2"/>
    </row>
    <row r="194" ht="15.75" customHeight="1">
      <c r="B194" s="2"/>
      <c r="C194" s="2"/>
    </row>
    <row r="195" ht="15.75" customHeight="1">
      <c r="B195" s="2"/>
      <c r="C195" s="2"/>
    </row>
    <row r="196" ht="15.75" customHeight="1">
      <c r="B196" s="2"/>
      <c r="C196" s="2"/>
    </row>
    <row r="197" ht="15.75" customHeight="1">
      <c r="B197" s="2"/>
      <c r="C197" s="2"/>
    </row>
    <row r="198" ht="15.75" customHeight="1">
      <c r="B198" s="2"/>
      <c r="C198" s="2"/>
    </row>
    <row r="199" ht="15.75" customHeight="1">
      <c r="B199" s="2"/>
      <c r="C199" s="2"/>
    </row>
    <row r="200" ht="15.75" customHeight="1">
      <c r="B200" s="2"/>
      <c r="C200" s="2"/>
    </row>
    <row r="201" ht="15.75" customHeight="1">
      <c r="B201" s="2"/>
      <c r="C201" s="2"/>
    </row>
    <row r="202" ht="15.75" customHeight="1">
      <c r="B202" s="2"/>
      <c r="C202" s="2"/>
    </row>
    <row r="203" ht="15.75" customHeight="1">
      <c r="B203" s="2"/>
      <c r="C203" s="2"/>
    </row>
    <row r="204" ht="15.75" customHeight="1">
      <c r="B204" s="2"/>
      <c r="C204" s="2"/>
    </row>
    <row r="205" ht="15.75" customHeight="1">
      <c r="B205" s="2"/>
      <c r="C205" s="2"/>
    </row>
    <row r="206" ht="15.75" customHeight="1">
      <c r="B206" s="2"/>
      <c r="C206" s="2"/>
    </row>
    <row r="207" ht="15.75" customHeight="1">
      <c r="B207" s="2"/>
      <c r="C207" s="2"/>
    </row>
    <row r="208" ht="15.75" customHeight="1">
      <c r="B208" s="2"/>
      <c r="C208" s="2"/>
    </row>
    <row r="209" ht="15.75" customHeight="1">
      <c r="B209" s="2"/>
      <c r="C209" s="2"/>
    </row>
    <row r="210" ht="15.75" customHeight="1">
      <c r="B210" s="2"/>
      <c r="C210" s="2"/>
    </row>
    <row r="211" ht="15.75" customHeight="1">
      <c r="B211" s="2"/>
      <c r="C211" s="2"/>
    </row>
    <row r="212" ht="15.75" customHeight="1">
      <c r="B212" s="2"/>
      <c r="C212" s="2"/>
    </row>
    <row r="213" ht="15.75" customHeight="1">
      <c r="B213" s="2"/>
      <c r="C213" s="2"/>
    </row>
    <row r="214" ht="15.75" customHeight="1">
      <c r="B214" s="2"/>
      <c r="C214" s="2"/>
    </row>
    <row r="215" ht="15.75" customHeight="1">
      <c r="B215" s="2"/>
      <c r="C215" s="2"/>
    </row>
    <row r="216" ht="15.75" customHeight="1">
      <c r="B216" s="2"/>
      <c r="C216" s="2"/>
    </row>
    <row r="217" ht="15.75" customHeight="1">
      <c r="B217" s="2"/>
      <c r="C217" s="2"/>
    </row>
    <row r="218" ht="15.75" customHeight="1">
      <c r="B218" s="2"/>
      <c r="C218" s="2"/>
    </row>
    <row r="219" ht="15.75" customHeight="1">
      <c r="B219" s="2"/>
      <c r="C219" s="2"/>
    </row>
    <row r="220" ht="15.75" customHeight="1">
      <c r="B220" s="2"/>
      <c r="C220" s="2"/>
    </row>
    <row r="221" ht="15.75" customHeight="1">
      <c r="B221" s="2"/>
      <c r="C221" s="2"/>
    </row>
    <row r="222" ht="15.75" customHeight="1">
      <c r="B222" s="2"/>
      <c r="C222" s="2"/>
    </row>
    <row r="223" ht="15.75" customHeight="1">
      <c r="B223" s="2"/>
      <c r="C223" s="2"/>
    </row>
    <row r="224" ht="15.75" customHeight="1">
      <c r="B224" s="2"/>
      <c r="C224" s="2"/>
    </row>
    <row r="225" ht="15.75" customHeight="1">
      <c r="B225" s="2"/>
      <c r="C225" s="2"/>
    </row>
    <row r="226" ht="15.75" customHeight="1">
      <c r="B226" s="2"/>
      <c r="C226" s="2"/>
    </row>
    <row r="227" ht="15.75" customHeight="1">
      <c r="B227" s="2"/>
      <c r="C227" s="2"/>
    </row>
    <row r="228" ht="15.75" customHeight="1">
      <c r="B228" s="2"/>
      <c r="C228" s="2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29"/>
    <col customWidth="1" min="2" max="8" width="14.29"/>
  </cols>
  <sheetData>
    <row r="1">
      <c r="A1" s="2" t="s">
        <v>1</v>
      </c>
      <c r="B1" s="2" t="s">
        <v>7</v>
      </c>
      <c r="C1" s="6" t="s">
        <v>39</v>
      </c>
      <c r="D1" s="6" t="s">
        <v>110</v>
      </c>
      <c r="E1" s="6" t="s">
        <v>111</v>
      </c>
      <c r="F1" s="6" t="s">
        <v>112</v>
      </c>
      <c r="G1" s="6" t="s">
        <v>113</v>
      </c>
      <c r="H1" s="6" t="s">
        <v>114</v>
      </c>
    </row>
    <row r="2">
      <c r="A2" s="2" t="s">
        <v>48</v>
      </c>
      <c r="B2" s="15">
        <f t="shared" ref="B2:B4" si="1">SUM(C2:H2)</f>
        <v>5292735</v>
      </c>
      <c r="C2" s="19">
        <v>592864.0</v>
      </c>
      <c r="D2" s="19">
        <v>575151.0</v>
      </c>
      <c r="E2" s="19">
        <f>550000+354720</f>
        <v>904720</v>
      </c>
      <c r="F2" s="19">
        <v>2970000.0</v>
      </c>
      <c r="G2" s="19">
        <v>250000.0</v>
      </c>
      <c r="H2" s="19"/>
    </row>
    <row r="3">
      <c r="A3" s="2" t="s">
        <v>58</v>
      </c>
      <c r="B3" s="15">
        <f t="shared" si="1"/>
        <v>0</v>
      </c>
      <c r="C3" s="19">
        <v>0.0</v>
      </c>
      <c r="D3" s="19">
        <v>0.0</v>
      </c>
      <c r="E3" s="19">
        <v>0.0</v>
      </c>
      <c r="F3" s="19">
        <v>0.0</v>
      </c>
      <c r="G3" s="19">
        <v>0.0</v>
      </c>
      <c r="H3" s="19">
        <v>0.0</v>
      </c>
    </row>
    <row r="4">
      <c r="A4" s="2" t="s">
        <v>60</v>
      </c>
      <c r="B4" s="15">
        <f t="shared" si="1"/>
        <v>5292735</v>
      </c>
      <c r="C4" s="15">
        <f t="shared" ref="C4:H4" si="2">C2-C3</f>
        <v>592864</v>
      </c>
      <c r="D4" s="15">
        <f t="shared" si="2"/>
        <v>575151</v>
      </c>
      <c r="E4" s="15">
        <f t="shared" si="2"/>
        <v>904720</v>
      </c>
      <c r="F4" s="15">
        <f t="shared" si="2"/>
        <v>2970000</v>
      </c>
      <c r="G4" s="15">
        <f t="shared" si="2"/>
        <v>250000</v>
      </c>
      <c r="H4" s="15">
        <f t="shared" si="2"/>
        <v>0</v>
      </c>
    </row>
    <row r="5">
      <c r="B5" s="15"/>
    </row>
    <row r="6">
      <c r="A6" s="2" t="s">
        <v>67</v>
      </c>
      <c r="B6" s="15"/>
      <c r="C6" s="29">
        <v>0.1</v>
      </c>
      <c r="D6" s="29">
        <v>0.1</v>
      </c>
      <c r="E6" s="29">
        <v>0.1</v>
      </c>
      <c r="F6" s="29">
        <v>0.1</v>
      </c>
      <c r="G6" s="29">
        <v>0.1</v>
      </c>
      <c r="H6" s="29">
        <v>0.1</v>
      </c>
    </row>
    <row r="7">
      <c r="A7" s="2" t="s">
        <v>70</v>
      </c>
      <c r="B7" s="15">
        <f t="shared" ref="B7:B9" si="4">SUM(C7:H7)</f>
        <v>481157.7273</v>
      </c>
      <c r="C7" s="19">
        <f t="shared" ref="C7:H7" si="3">C2/11</f>
        <v>53896.72727</v>
      </c>
      <c r="D7" s="19">
        <f t="shared" si="3"/>
        <v>52286.45455</v>
      </c>
      <c r="E7" s="19">
        <f t="shared" si="3"/>
        <v>82247.27273</v>
      </c>
      <c r="F7" s="19">
        <f t="shared" si="3"/>
        <v>270000</v>
      </c>
      <c r="G7" s="19">
        <f t="shared" si="3"/>
        <v>22727.27273</v>
      </c>
      <c r="H7" s="19">
        <f t="shared" si="3"/>
        <v>0</v>
      </c>
    </row>
    <row r="8">
      <c r="A8" s="2" t="s">
        <v>75</v>
      </c>
      <c r="B8" s="15">
        <f t="shared" si="4"/>
        <v>510000</v>
      </c>
      <c r="C8" s="19">
        <f t="shared" ref="C8:G8" si="5">_xlfn.CEILING.MATH(C7, 10000)</f>
        <v>60000</v>
      </c>
      <c r="D8" s="19">
        <f t="shared" si="5"/>
        <v>60000</v>
      </c>
      <c r="E8" s="19">
        <f t="shared" si="5"/>
        <v>90000</v>
      </c>
      <c r="F8" s="19">
        <f t="shared" si="5"/>
        <v>270000</v>
      </c>
      <c r="G8" s="19">
        <f t="shared" si="5"/>
        <v>30000</v>
      </c>
      <c r="H8" s="19">
        <f>_xlfn.CEILING.MATH(H7, 10)</f>
        <v>0</v>
      </c>
    </row>
    <row r="9">
      <c r="A9" s="44" t="s">
        <v>82</v>
      </c>
      <c r="B9" s="15">
        <f t="shared" si="4"/>
        <v>510000</v>
      </c>
      <c r="C9" s="15">
        <f t="shared" ref="C9:H9" si="6">C8</f>
        <v>60000</v>
      </c>
      <c r="D9" s="15">
        <f t="shared" si="6"/>
        <v>60000</v>
      </c>
      <c r="E9" s="15">
        <f t="shared" si="6"/>
        <v>90000</v>
      </c>
      <c r="F9" s="15">
        <f t="shared" si="6"/>
        <v>270000</v>
      </c>
      <c r="G9" s="15">
        <f t="shared" si="6"/>
        <v>30000</v>
      </c>
      <c r="H9" s="15">
        <f t="shared" si="6"/>
        <v>0</v>
      </c>
    </row>
    <row r="10">
      <c r="B10" s="15"/>
    </row>
    <row r="11">
      <c r="A11" s="2" t="s">
        <v>79</v>
      </c>
      <c r="B11" s="15">
        <f>SUM(C11:H11)</f>
        <v>4782735</v>
      </c>
      <c r="C11" s="15">
        <f t="shared" ref="C11:H11" si="7">C4-C9</f>
        <v>532864</v>
      </c>
      <c r="D11" s="15">
        <f t="shared" si="7"/>
        <v>515151</v>
      </c>
      <c r="E11" s="15">
        <f t="shared" si="7"/>
        <v>814720</v>
      </c>
      <c r="F11" s="15">
        <f t="shared" si="7"/>
        <v>2700000</v>
      </c>
      <c r="G11" s="15">
        <f t="shared" si="7"/>
        <v>220000</v>
      </c>
      <c r="H11" s="15">
        <f t="shared" si="7"/>
        <v>0</v>
      </c>
    </row>
    <row r="12">
      <c r="B12" s="15"/>
    </row>
    <row r="13">
      <c r="A13" s="2" t="s">
        <v>81</v>
      </c>
      <c r="B13" s="15"/>
    </row>
    <row r="14">
      <c r="A14" s="56" t="s">
        <v>88</v>
      </c>
      <c r="B14" s="15">
        <f t="shared" ref="B14:B22" si="9">SUM(C14:H14)</f>
        <v>47827.35</v>
      </c>
      <c r="C14" s="19">
        <f t="shared" ref="C14:C15" si="10">$C$11*0.01</f>
        <v>5328.64</v>
      </c>
      <c r="D14" s="19">
        <f t="shared" ref="D14:G14" si="8">D$11*0.01</f>
        <v>5151.51</v>
      </c>
      <c r="E14" s="19">
        <f t="shared" si="8"/>
        <v>8147.2</v>
      </c>
      <c r="F14" s="19">
        <f t="shared" si="8"/>
        <v>27000</v>
      </c>
      <c r="G14" s="19">
        <f t="shared" si="8"/>
        <v>2200</v>
      </c>
      <c r="H14" s="19">
        <v>0.0</v>
      </c>
    </row>
    <row r="15">
      <c r="A15" s="56" t="s">
        <v>89</v>
      </c>
      <c r="B15" s="15">
        <f t="shared" si="9"/>
        <v>47827.35</v>
      </c>
      <c r="C15" s="19">
        <f t="shared" si="10"/>
        <v>5328.64</v>
      </c>
      <c r="D15" s="19">
        <f t="shared" ref="D15:G15" si="11">D$11*0.01</f>
        <v>5151.51</v>
      </c>
      <c r="E15" s="19">
        <f t="shared" si="11"/>
        <v>8147.2</v>
      </c>
      <c r="F15" s="19">
        <f t="shared" si="11"/>
        <v>27000</v>
      </c>
      <c r="G15" s="19">
        <f t="shared" si="11"/>
        <v>2200</v>
      </c>
      <c r="H15" s="19">
        <v>0.0</v>
      </c>
    </row>
    <row r="16">
      <c r="A16" s="56" t="s">
        <v>90</v>
      </c>
      <c r="B16" s="15">
        <f t="shared" si="9"/>
        <v>239136.75</v>
      </c>
      <c r="C16" s="19">
        <f>$C$11*0.05</f>
        <v>26643.2</v>
      </c>
      <c r="D16" s="19">
        <f t="shared" ref="D16:G16" si="12">D$11*0.05</f>
        <v>25757.55</v>
      </c>
      <c r="E16" s="19">
        <f t="shared" si="12"/>
        <v>40736</v>
      </c>
      <c r="F16" s="19">
        <f t="shared" si="12"/>
        <v>135000</v>
      </c>
      <c r="G16" s="19">
        <f t="shared" si="12"/>
        <v>11000</v>
      </c>
      <c r="H16" s="19">
        <v>0.0</v>
      </c>
    </row>
    <row r="17">
      <c r="A17" s="56" t="s">
        <v>91</v>
      </c>
      <c r="B17" s="15">
        <f t="shared" si="9"/>
        <v>47827.35</v>
      </c>
      <c r="C17" s="19">
        <f>$C$11*0.01</f>
        <v>5328.64</v>
      </c>
      <c r="D17" s="19">
        <f t="shared" ref="D17:G17" si="13">D$11*0.01</f>
        <v>5151.51</v>
      </c>
      <c r="E17" s="19">
        <f t="shared" si="13"/>
        <v>8147.2</v>
      </c>
      <c r="F17" s="19">
        <f t="shared" si="13"/>
        <v>27000</v>
      </c>
      <c r="G17" s="19">
        <f t="shared" si="13"/>
        <v>2200</v>
      </c>
      <c r="H17" s="19">
        <v>0.0</v>
      </c>
    </row>
    <row r="18">
      <c r="A18" s="56" t="s">
        <v>92</v>
      </c>
      <c r="B18" s="15">
        <f t="shared" si="9"/>
        <v>478273.5</v>
      </c>
      <c r="C18" s="19">
        <f>$C$11*0.1</f>
        <v>53286.4</v>
      </c>
      <c r="D18" s="19">
        <f t="shared" ref="D18:G18" si="14">D$11*0.1</f>
        <v>51515.1</v>
      </c>
      <c r="E18" s="19">
        <f t="shared" si="14"/>
        <v>81472</v>
      </c>
      <c r="F18" s="19">
        <f t="shared" si="14"/>
        <v>270000</v>
      </c>
      <c r="G18" s="19">
        <f t="shared" si="14"/>
        <v>22000</v>
      </c>
      <c r="H18" s="19">
        <v>0.0</v>
      </c>
    </row>
    <row r="19">
      <c r="A19" s="56" t="s">
        <v>93</v>
      </c>
      <c r="B19" s="15">
        <f t="shared" si="9"/>
        <v>239136.75</v>
      </c>
      <c r="C19" s="19">
        <f>$C$11*0.05</f>
        <v>26643.2</v>
      </c>
      <c r="D19" s="19">
        <f t="shared" ref="D19:G19" si="15">D$11*0.05</f>
        <v>25757.55</v>
      </c>
      <c r="E19" s="19">
        <f t="shared" si="15"/>
        <v>40736</v>
      </c>
      <c r="F19" s="19">
        <f t="shared" si="15"/>
        <v>135000</v>
      </c>
      <c r="G19" s="19">
        <f t="shared" si="15"/>
        <v>11000</v>
      </c>
      <c r="H19" s="19">
        <v>0.0</v>
      </c>
    </row>
    <row r="20">
      <c r="A20" s="56" t="s">
        <v>94</v>
      </c>
      <c r="B20" s="15">
        <f t="shared" si="9"/>
        <v>385775.5</v>
      </c>
      <c r="C20" s="19">
        <f t="shared" ref="C20:C21" si="17">$C$11*0.1</f>
        <v>53286.4</v>
      </c>
      <c r="D20" s="19">
        <f>(D$11*0.1)-92498</f>
        <v>-40982.9</v>
      </c>
      <c r="E20" s="19">
        <f t="shared" ref="E20:G20" si="16">E$11*0.1</f>
        <v>81472</v>
      </c>
      <c r="F20" s="19">
        <f t="shared" si="16"/>
        <v>270000</v>
      </c>
      <c r="G20" s="19">
        <f t="shared" si="16"/>
        <v>22000</v>
      </c>
      <c r="H20" s="19">
        <v>0.0</v>
      </c>
    </row>
    <row r="21" ht="15.75" customHeight="1">
      <c r="A21" s="56" t="s">
        <v>95</v>
      </c>
      <c r="B21" s="15">
        <f t="shared" si="9"/>
        <v>478273.5</v>
      </c>
      <c r="C21" s="19">
        <f t="shared" si="17"/>
        <v>53286.4</v>
      </c>
      <c r="D21" s="19">
        <f t="shared" ref="D21:G21" si="18">D$11*0.1</f>
        <v>51515.1</v>
      </c>
      <c r="E21" s="19">
        <f t="shared" si="18"/>
        <v>81472</v>
      </c>
      <c r="F21" s="19">
        <f t="shared" si="18"/>
        <v>270000</v>
      </c>
      <c r="G21" s="19">
        <f t="shared" si="18"/>
        <v>22000</v>
      </c>
      <c r="H21" s="19">
        <v>0.0</v>
      </c>
    </row>
    <row r="22" ht="15.75" customHeight="1">
      <c r="A22" s="44" t="s">
        <v>105</v>
      </c>
      <c r="B22" s="15">
        <f t="shared" si="9"/>
        <v>1964078.05</v>
      </c>
      <c r="C22" s="15">
        <f t="shared" ref="C22:H22" si="19">SUM(C14:C21)</f>
        <v>229131.52</v>
      </c>
      <c r="D22" s="15">
        <f t="shared" si="19"/>
        <v>129016.93</v>
      </c>
      <c r="E22" s="15">
        <f t="shared" si="19"/>
        <v>350329.6</v>
      </c>
      <c r="F22" s="15">
        <f t="shared" si="19"/>
        <v>1161000</v>
      </c>
      <c r="G22" s="15">
        <f t="shared" si="19"/>
        <v>94600</v>
      </c>
      <c r="H22" s="15">
        <f t="shared" si="19"/>
        <v>0</v>
      </c>
    </row>
    <row r="23" ht="15.75" customHeight="1">
      <c r="B23" s="15"/>
    </row>
    <row r="24" ht="15.75" customHeight="1">
      <c r="A24" s="44" t="s">
        <v>107</v>
      </c>
      <c r="B24" s="15">
        <f>SUM(C24:H24)</f>
        <v>2818656.95</v>
      </c>
      <c r="C24" s="15">
        <f t="shared" ref="C24:H24" si="20">C11-C22</f>
        <v>303732.48</v>
      </c>
      <c r="D24" s="15">
        <f t="shared" si="20"/>
        <v>386134.07</v>
      </c>
      <c r="E24" s="15">
        <f t="shared" si="20"/>
        <v>464390.4</v>
      </c>
      <c r="F24" s="15">
        <f t="shared" si="20"/>
        <v>1539000</v>
      </c>
      <c r="G24" s="15">
        <f t="shared" si="20"/>
        <v>125400</v>
      </c>
      <c r="H24" s="15">
        <f t="shared" si="20"/>
        <v>0</v>
      </c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2025-12-03T16:18:47Z</dcterms:created>
</cp:coreProperties>
</file>